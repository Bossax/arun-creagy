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tth\OracleWorkspace\Arun_Creagy\ψ\incubate\DCCE\CRDB\output\03_DataInventory_DQ\"/>
    </mc:Choice>
  </mc:AlternateContent>
  <xr:revisionPtr revIDLastSave="0" documentId="8_{333F5C2C-F2B2-4088-AC34-291E55778A45}" xr6:coauthVersionLast="47" xr6:coauthVersionMax="47" xr10:uidLastSave="{00000000-0000-0000-0000-000000000000}"/>
  <bookViews>
    <workbookView xWindow="-120" yWindow="-120" windowWidth="29040" windowHeight="15720" tabRatio="500" firstSheet="1" activeTab="1" xr2:uid="{00000000-000D-0000-FFFF-FFFF00000000}"/>
  </bookViews>
  <sheets>
    <sheet name="Print_All" sheetId="1" r:id="rId1"/>
    <sheet name="Introduction" sheetId="2" r:id="rId2"/>
    <sheet name="Datasets_ฺmain_backup" sheetId="54" state="hidden" r:id="rId3"/>
    <sheet name="Datasets_main" sheetId="3" r:id="rId4"/>
    <sheet name="Ref_Lookups" sheetId="4" r:id="rId5"/>
    <sheet name="DCCE" sheetId="5" r:id="rId6"/>
    <sheet name="GISTDA" sheetId="6" r:id="rId7"/>
    <sheet name="TMD" sheetId="7" r:id="rId8"/>
    <sheet name="MD" sheetId="11" r:id="rId9"/>
    <sheet name="DMCR" sheetId="8" r:id="rId10"/>
    <sheet name="DMR" sheetId="9" r:id="rId11"/>
    <sheet name="DDPM" sheetId="10" r:id="rId12"/>
    <sheet name="LDD" sheetId="12" r:id="rId13"/>
    <sheet name="HII" sheetId="13" r:id="rId14"/>
    <sheet name="DOT" sheetId="14" r:id="rId15"/>
    <sheet name="DOPA" sheetId="15" r:id="rId16"/>
    <sheet name="DOH" sheetId="16" r:id="rId17"/>
    <sheet name="FAD" sheetId="17" r:id="rId18"/>
    <sheet name="DOHealth" sheetId="18" r:id="rId19"/>
    <sheet name="CDD" sheetId="19" r:id="rId20"/>
    <sheet name="OBEC" sheetId="20" r:id="rId21"/>
    <sheet name="MHESI" sheetId="21" r:id="rId22"/>
    <sheet name="IEAT" sheetId="22" r:id="rId23"/>
    <sheet name="MWA" sheetId="23" r:id="rId24"/>
    <sheet name="PWA" sheetId="24" r:id="rId25"/>
    <sheet name="SRT" sheetId="25" r:id="rId26"/>
    <sheet name="NSO" sheetId="26" r:id="rId27"/>
    <sheet name="EPPO" sheetId="27" r:id="rId28"/>
    <sheet name="DPT" sheetId="28" r:id="rId29"/>
    <sheet name="BMA" sheetId="29" r:id="rId30"/>
    <sheet name="UDDC" sheetId="30" r:id="rId31"/>
    <sheet name="FTI" sheetId="31" r:id="rId32"/>
    <sheet name="NESDC" sheetId="33" r:id="rId33"/>
    <sheet name="MSDHS" sheetId="37" r:id="rId34"/>
    <sheet name="OTP" sheetId="38" r:id="rId35"/>
    <sheet name="DWR" sheetId="40" r:id="rId36"/>
    <sheet name="MoPH" sheetId="41" r:id="rId37"/>
    <sheet name="ONEP" sheetId="42" r:id="rId38"/>
    <sheet name="DBD" sheetId="43" r:id="rId39"/>
    <sheet name="DDC" sheetId="44" r:id="rId40"/>
    <sheet name="DGR" sheetId="45" r:id="rId41"/>
    <sheet name="DIW" sheetId="46" r:id="rId42"/>
    <sheet name="DNP" sheetId="47" r:id="rId43"/>
    <sheet name="DOAE" sheetId="48" r:id="rId44"/>
    <sheet name="EGAT" sheetId="49" r:id="rId45"/>
    <sheet name="OAE" sheetId="50" r:id="rId46"/>
    <sheet name="RFD" sheetId="51" r:id="rId47"/>
    <sheet name="RID" sheetId="52" r:id="rId48"/>
    <sheet name="RTSD" sheetId="53" r:id="rId49"/>
  </sheets>
  <definedNames>
    <definedName name="_xlnm._FilterDatabase" localSheetId="29" hidden="1">BMA!$A$1:$V$8</definedName>
    <definedName name="_xlnm._FilterDatabase" localSheetId="3" hidden="1">Datasets_main!$A$1:$H$48</definedName>
    <definedName name="_xlnm._FilterDatabase" localSheetId="2" hidden="1">Datasets_ฺmain_backup!$A$1:$H$52</definedName>
    <definedName name="_xlnm._FilterDatabase" localSheetId="5" hidden="1">DCCE!$A$1:$V$22</definedName>
    <definedName name="_xlnm._FilterDatabase" localSheetId="6" hidden="1">GISTDA!$A$1:$V$18</definedName>
    <definedName name="_xlnm._FilterDatabase" localSheetId="47" hidden="1">RID!$A$1:$V$12</definedName>
    <definedName name="_xlnm._FilterDatabase" localSheetId="7" hidden="1">TMD!$A$1:$V$38</definedName>
    <definedName name="_xlnm.Print_Area" localSheetId="0">Print_All!$A$1:$I$266</definedName>
    <definedName name="_xlnm.Print_Titles" localSheetId="0">Print_All!$1:$3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2" i="1" l="1"/>
  <c r="B262" i="1"/>
  <c r="C262" i="1"/>
  <c r="D262" i="1"/>
  <c r="E262" i="1"/>
  <c r="F262" i="1"/>
  <c r="G262" i="1"/>
  <c r="H262" i="1"/>
  <c r="I262" i="1"/>
  <c r="A263" i="1"/>
  <c r="B263" i="1"/>
  <c r="C263" i="1"/>
  <c r="D263" i="1"/>
  <c r="E263" i="1"/>
  <c r="F263" i="1"/>
  <c r="G263" i="1"/>
  <c r="H263" i="1"/>
  <c r="I263" i="1"/>
  <c r="A264" i="1"/>
  <c r="B264" i="1"/>
  <c r="C264" i="1"/>
  <c r="D264" i="1"/>
  <c r="E264" i="1"/>
  <c r="F264" i="1"/>
  <c r="G264" i="1"/>
  <c r="H264" i="1"/>
  <c r="I264" i="1"/>
  <c r="A265" i="1"/>
  <c r="B265" i="1"/>
  <c r="C265" i="1"/>
  <c r="D265" i="1"/>
  <c r="E265" i="1"/>
  <c r="F265" i="1"/>
  <c r="G265" i="1"/>
  <c r="H265" i="1"/>
  <c r="I265" i="1"/>
  <c r="A266" i="1"/>
  <c r="B266" i="1"/>
  <c r="C266" i="1"/>
  <c r="D266" i="1"/>
  <c r="E266" i="1"/>
  <c r="F266" i="1"/>
  <c r="G266" i="1"/>
  <c r="H266" i="1"/>
  <c r="I266" i="1"/>
  <c r="A224" i="1"/>
  <c r="B224" i="1"/>
  <c r="C224" i="1"/>
  <c r="D224" i="1"/>
  <c r="E224" i="1"/>
  <c r="F224" i="1"/>
  <c r="G224" i="1"/>
  <c r="H224" i="1"/>
  <c r="I224" i="1"/>
  <c r="A225" i="1"/>
  <c r="B225" i="1"/>
  <c r="C225" i="1"/>
  <c r="D225" i="1"/>
  <c r="E225" i="1"/>
  <c r="F225" i="1"/>
  <c r="G225" i="1"/>
  <c r="H225" i="1"/>
  <c r="I225" i="1"/>
  <c r="A226" i="1"/>
  <c r="B226" i="1"/>
  <c r="C226" i="1"/>
  <c r="D226" i="1"/>
  <c r="E226" i="1"/>
  <c r="F226" i="1"/>
  <c r="G226" i="1"/>
  <c r="H226" i="1"/>
  <c r="I226" i="1"/>
  <c r="A227" i="1"/>
  <c r="B227" i="1"/>
  <c r="C227" i="1"/>
  <c r="D227" i="1"/>
  <c r="E227" i="1"/>
  <c r="F227" i="1"/>
  <c r="G227" i="1"/>
  <c r="H227" i="1"/>
  <c r="I227" i="1"/>
  <c r="A228" i="1"/>
  <c r="B228" i="1"/>
  <c r="C228" i="1"/>
  <c r="D228" i="1"/>
  <c r="E228" i="1"/>
  <c r="F228" i="1"/>
  <c r="G228" i="1"/>
  <c r="H228" i="1"/>
  <c r="I228" i="1"/>
  <c r="A229" i="1"/>
  <c r="B229" i="1"/>
  <c r="C229" i="1"/>
  <c r="D229" i="1"/>
  <c r="E229" i="1"/>
  <c r="F229" i="1"/>
  <c r="G229" i="1"/>
  <c r="H229" i="1"/>
  <c r="I229" i="1"/>
  <c r="A230" i="1"/>
  <c r="B230" i="1"/>
  <c r="C230" i="1"/>
  <c r="D230" i="1"/>
  <c r="E230" i="1"/>
  <c r="F230" i="1"/>
  <c r="G230" i="1"/>
  <c r="H230" i="1"/>
  <c r="I230" i="1"/>
  <c r="A231" i="1"/>
  <c r="B231" i="1"/>
  <c r="C231" i="1"/>
  <c r="D231" i="1"/>
  <c r="E231" i="1"/>
  <c r="F231" i="1"/>
  <c r="G231" i="1"/>
  <c r="H231" i="1"/>
  <c r="I231" i="1"/>
  <c r="A232" i="1"/>
  <c r="B232" i="1"/>
  <c r="C232" i="1"/>
  <c r="D232" i="1"/>
  <c r="E232" i="1"/>
  <c r="F232" i="1"/>
  <c r="G232" i="1"/>
  <c r="H232" i="1"/>
  <c r="I232" i="1"/>
  <c r="A233" i="1"/>
  <c r="B233" i="1"/>
  <c r="C233" i="1"/>
  <c r="D233" i="1"/>
  <c r="E233" i="1"/>
  <c r="F233" i="1"/>
  <c r="G233" i="1"/>
  <c r="H233" i="1"/>
  <c r="I233" i="1"/>
  <c r="A234" i="1"/>
  <c r="B234" i="1"/>
  <c r="C234" i="1"/>
  <c r="D234" i="1"/>
  <c r="E234" i="1"/>
  <c r="F234" i="1"/>
  <c r="G234" i="1"/>
  <c r="H234" i="1"/>
  <c r="I234" i="1"/>
  <c r="A235" i="1"/>
  <c r="B235" i="1"/>
  <c r="C235" i="1"/>
  <c r="D235" i="1"/>
  <c r="E235" i="1"/>
  <c r="F235" i="1"/>
  <c r="G235" i="1"/>
  <c r="H235" i="1"/>
  <c r="I235" i="1"/>
  <c r="A236" i="1"/>
  <c r="B236" i="1"/>
  <c r="C236" i="1"/>
  <c r="D236" i="1"/>
  <c r="E236" i="1"/>
  <c r="F236" i="1"/>
  <c r="G236" i="1"/>
  <c r="H236" i="1"/>
  <c r="I236" i="1"/>
  <c r="A237" i="1"/>
  <c r="B237" i="1"/>
  <c r="C237" i="1"/>
  <c r="D237" i="1"/>
  <c r="E237" i="1"/>
  <c r="F237" i="1"/>
  <c r="G237" i="1"/>
  <c r="H237" i="1"/>
  <c r="I237" i="1"/>
  <c r="A238" i="1"/>
  <c r="B238" i="1"/>
  <c r="C238" i="1"/>
  <c r="D238" i="1"/>
  <c r="E238" i="1"/>
  <c r="F238" i="1"/>
  <c r="G238" i="1"/>
  <c r="H238" i="1"/>
  <c r="I238" i="1"/>
  <c r="A239" i="1"/>
  <c r="B239" i="1"/>
  <c r="C239" i="1"/>
  <c r="D239" i="1"/>
  <c r="E239" i="1"/>
  <c r="F239" i="1"/>
  <c r="G239" i="1"/>
  <c r="H239" i="1"/>
  <c r="I239" i="1"/>
  <c r="A240" i="1"/>
  <c r="B240" i="1"/>
  <c r="C240" i="1"/>
  <c r="D240" i="1"/>
  <c r="E240" i="1"/>
  <c r="F240" i="1"/>
  <c r="G240" i="1"/>
  <c r="H240" i="1"/>
  <c r="I240" i="1"/>
  <c r="A241" i="1"/>
  <c r="B241" i="1"/>
  <c r="C241" i="1"/>
  <c r="D241" i="1"/>
  <c r="E241" i="1"/>
  <c r="F241" i="1"/>
  <c r="G241" i="1"/>
  <c r="H241" i="1"/>
  <c r="I241" i="1"/>
  <c r="A242" i="1"/>
  <c r="B242" i="1"/>
  <c r="C242" i="1"/>
  <c r="D242" i="1"/>
  <c r="E242" i="1"/>
  <c r="F242" i="1"/>
  <c r="G242" i="1"/>
  <c r="H242" i="1"/>
  <c r="I242" i="1"/>
  <c r="A243" i="1"/>
  <c r="B243" i="1"/>
  <c r="C243" i="1"/>
  <c r="D243" i="1"/>
  <c r="E243" i="1"/>
  <c r="F243" i="1"/>
  <c r="G243" i="1"/>
  <c r="H243" i="1"/>
  <c r="I243" i="1"/>
  <c r="A244" i="1"/>
  <c r="B244" i="1"/>
  <c r="C244" i="1"/>
  <c r="D244" i="1"/>
  <c r="E244" i="1"/>
  <c r="F244" i="1"/>
  <c r="G244" i="1"/>
  <c r="H244" i="1"/>
  <c r="I244" i="1"/>
  <c r="A245" i="1"/>
  <c r="B245" i="1"/>
  <c r="C245" i="1"/>
  <c r="D245" i="1"/>
  <c r="E245" i="1"/>
  <c r="F245" i="1"/>
  <c r="G245" i="1"/>
  <c r="H245" i="1"/>
  <c r="I245" i="1"/>
  <c r="A246" i="1"/>
  <c r="B246" i="1"/>
  <c r="C246" i="1"/>
  <c r="D246" i="1"/>
  <c r="E246" i="1"/>
  <c r="F246" i="1"/>
  <c r="G246" i="1"/>
  <c r="H246" i="1"/>
  <c r="I246" i="1"/>
  <c r="A247" i="1"/>
  <c r="B247" i="1"/>
  <c r="C247" i="1"/>
  <c r="D247" i="1"/>
  <c r="E247" i="1"/>
  <c r="F247" i="1"/>
  <c r="G247" i="1"/>
  <c r="H247" i="1"/>
  <c r="I247" i="1"/>
  <c r="A248" i="1"/>
  <c r="B248" i="1"/>
  <c r="C248" i="1"/>
  <c r="D248" i="1"/>
  <c r="E248" i="1"/>
  <c r="F248" i="1"/>
  <c r="G248" i="1"/>
  <c r="H248" i="1"/>
  <c r="I248" i="1"/>
  <c r="A249" i="1"/>
  <c r="B249" i="1"/>
  <c r="C249" i="1"/>
  <c r="D249" i="1"/>
  <c r="E249" i="1"/>
  <c r="F249" i="1"/>
  <c r="G249" i="1"/>
  <c r="H249" i="1"/>
  <c r="I249" i="1"/>
  <c r="A250" i="1"/>
  <c r="B250" i="1"/>
  <c r="C250" i="1"/>
  <c r="D250" i="1"/>
  <c r="E250" i="1"/>
  <c r="F250" i="1"/>
  <c r="G250" i="1"/>
  <c r="H250" i="1"/>
  <c r="I250" i="1"/>
  <c r="A251" i="1"/>
  <c r="B251" i="1"/>
  <c r="C251" i="1"/>
  <c r="D251" i="1"/>
  <c r="E251" i="1"/>
  <c r="F251" i="1"/>
  <c r="G251" i="1"/>
  <c r="H251" i="1"/>
  <c r="I251" i="1"/>
  <c r="A252" i="1"/>
  <c r="B252" i="1"/>
  <c r="C252" i="1"/>
  <c r="D252" i="1"/>
  <c r="E252" i="1"/>
  <c r="F252" i="1"/>
  <c r="G252" i="1"/>
  <c r="H252" i="1"/>
  <c r="I252" i="1"/>
  <c r="A253" i="1"/>
  <c r="B253" i="1"/>
  <c r="C253" i="1"/>
  <c r="D253" i="1"/>
  <c r="E253" i="1"/>
  <c r="F253" i="1"/>
  <c r="G253" i="1"/>
  <c r="H253" i="1"/>
  <c r="I253" i="1"/>
  <c r="A254" i="1"/>
  <c r="B254" i="1"/>
  <c r="C254" i="1"/>
  <c r="D254" i="1"/>
  <c r="E254" i="1"/>
  <c r="F254" i="1"/>
  <c r="G254" i="1"/>
  <c r="H254" i="1"/>
  <c r="I254" i="1"/>
  <c r="A255" i="1"/>
  <c r="B255" i="1"/>
  <c r="C255" i="1"/>
  <c r="D255" i="1"/>
  <c r="E255" i="1"/>
  <c r="F255" i="1"/>
  <c r="G255" i="1"/>
  <c r="H255" i="1"/>
  <c r="I255" i="1"/>
  <c r="A256" i="1"/>
  <c r="B256" i="1"/>
  <c r="C256" i="1"/>
  <c r="D256" i="1"/>
  <c r="E256" i="1"/>
  <c r="F256" i="1"/>
  <c r="G256" i="1"/>
  <c r="H256" i="1"/>
  <c r="I256" i="1"/>
  <c r="A257" i="1"/>
  <c r="B257" i="1"/>
  <c r="C257" i="1"/>
  <c r="D257" i="1"/>
  <c r="E257" i="1"/>
  <c r="F257" i="1"/>
  <c r="G257" i="1"/>
  <c r="H257" i="1"/>
  <c r="I257" i="1"/>
  <c r="A258" i="1"/>
  <c r="B258" i="1"/>
  <c r="C258" i="1"/>
  <c r="D258" i="1"/>
  <c r="E258" i="1"/>
  <c r="F258" i="1"/>
  <c r="G258" i="1"/>
  <c r="H258" i="1"/>
  <c r="I258" i="1"/>
  <c r="A259" i="1"/>
  <c r="B259" i="1"/>
  <c r="C259" i="1"/>
  <c r="D259" i="1"/>
  <c r="E259" i="1"/>
  <c r="F259" i="1"/>
  <c r="G259" i="1"/>
  <c r="H259" i="1"/>
  <c r="I259" i="1"/>
  <c r="A260" i="1"/>
  <c r="B260" i="1"/>
  <c r="C260" i="1"/>
  <c r="D260" i="1"/>
  <c r="E260" i="1"/>
  <c r="F260" i="1"/>
  <c r="G260" i="1"/>
  <c r="H260" i="1"/>
  <c r="I260" i="1"/>
  <c r="A222" i="1"/>
  <c r="B222" i="1"/>
  <c r="C222" i="1"/>
  <c r="D222" i="1"/>
  <c r="E222" i="1"/>
  <c r="F222" i="1"/>
  <c r="G222" i="1"/>
  <c r="H222" i="1"/>
  <c r="I222" i="1"/>
  <c r="A216" i="1"/>
  <c r="B216" i="1"/>
  <c r="C216" i="1"/>
  <c r="D216" i="1"/>
  <c r="E216" i="1"/>
  <c r="F216" i="1"/>
  <c r="G216" i="1"/>
  <c r="H216" i="1"/>
  <c r="I216" i="1"/>
  <c r="A217" i="1"/>
  <c r="B217" i="1"/>
  <c r="C217" i="1"/>
  <c r="D217" i="1"/>
  <c r="E217" i="1"/>
  <c r="F217" i="1"/>
  <c r="G217" i="1"/>
  <c r="H217" i="1"/>
  <c r="I217" i="1"/>
  <c r="A218" i="1"/>
  <c r="B218" i="1"/>
  <c r="C218" i="1"/>
  <c r="D218" i="1"/>
  <c r="E218" i="1"/>
  <c r="F218" i="1"/>
  <c r="G218" i="1"/>
  <c r="H218" i="1"/>
  <c r="I218" i="1"/>
  <c r="A219" i="1"/>
  <c r="B219" i="1"/>
  <c r="C219" i="1"/>
  <c r="D219" i="1"/>
  <c r="E219" i="1"/>
  <c r="F219" i="1"/>
  <c r="G219" i="1"/>
  <c r="H219" i="1"/>
  <c r="I219" i="1"/>
  <c r="A220" i="1"/>
  <c r="B220" i="1"/>
  <c r="C220" i="1"/>
  <c r="D220" i="1"/>
  <c r="E220" i="1"/>
  <c r="F220" i="1"/>
  <c r="G220" i="1"/>
  <c r="H220" i="1"/>
  <c r="I220" i="1"/>
  <c r="A212" i="1"/>
  <c r="B212" i="1"/>
  <c r="C212" i="1"/>
  <c r="D212" i="1"/>
  <c r="E212" i="1"/>
  <c r="F212" i="1"/>
  <c r="G212" i="1"/>
  <c r="H212" i="1"/>
  <c r="I212" i="1"/>
  <c r="A213" i="1"/>
  <c r="B213" i="1"/>
  <c r="C213" i="1"/>
  <c r="D213" i="1"/>
  <c r="E213" i="1"/>
  <c r="F213" i="1"/>
  <c r="G213" i="1"/>
  <c r="H213" i="1"/>
  <c r="I213" i="1"/>
  <c r="A214" i="1"/>
  <c r="B214" i="1"/>
  <c r="C214" i="1"/>
  <c r="D214" i="1"/>
  <c r="E214" i="1"/>
  <c r="F214" i="1"/>
  <c r="G214" i="1"/>
  <c r="H214" i="1"/>
  <c r="I214" i="1"/>
  <c r="A209" i="1"/>
  <c r="B209" i="1"/>
  <c r="C209" i="1"/>
  <c r="D209" i="1"/>
  <c r="E209" i="1"/>
  <c r="F209" i="1"/>
  <c r="G209" i="1"/>
  <c r="H209" i="1"/>
  <c r="I209" i="1"/>
  <c r="A210" i="1"/>
  <c r="B210" i="1"/>
  <c r="C210" i="1"/>
  <c r="D210" i="1"/>
  <c r="E210" i="1"/>
  <c r="F210" i="1"/>
  <c r="G210" i="1"/>
  <c r="H210" i="1"/>
  <c r="I210" i="1"/>
  <c r="A207" i="1"/>
  <c r="B207" i="1"/>
  <c r="C207" i="1"/>
  <c r="D207" i="1"/>
  <c r="E207" i="1"/>
  <c r="F207" i="1"/>
  <c r="G207" i="1"/>
  <c r="H207" i="1"/>
  <c r="I207" i="1"/>
  <c r="A192" i="1"/>
  <c r="B192" i="1"/>
  <c r="C192" i="1"/>
  <c r="D192" i="1"/>
  <c r="E192" i="1"/>
  <c r="F192" i="1"/>
  <c r="G192" i="1"/>
  <c r="H192" i="1"/>
  <c r="I192" i="1"/>
  <c r="A193" i="1"/>
  <c r="B193" i="1"/>
  <c r="C193" i="1"/>
  <c r="D193" i="1"/>
  <c r="E193" i="1"/>
  <c r="F193" i="1"/>
  <c r="G193" i="1"/>
  <c r="H193" i="1"/>
  <c r="I193" i="1"/>
  <c r="A194" i="1"/>
  <c r="B194" i="1"/>
  <c r="C194" i="1"/>
  <c r="D194" i="1"/>
  <c r="E194" i="1"/>
  <c r="F194" i="1"/>
  <c r="G194" i="1"/>
  <c r="H194" i="1"/>
  <c r="I194" i="1"/>
  <c r="A195" i="1"/>
  <c r="B195" i="1"/>
  <c r="C195" i="1"/>
  <c r="D195" i="1"/>
  <c r="E195" i="1"/>
  <c r="F195" i="1"/>
  <c r="G195" i="1"/>
  <c r="H195" i="1"/>
  <c r="I195" i="1"/>
  <c r="A196" i="1"/>
  <c r="B196" i="1"/>
  <c r="C196" i="1"/>
  <c r="D196" i="1"/>
  <c r="E196" i="1"/>
  <c r="F196" i="1"/>
  <c r="G196" i="1"/>
  <c r="H196" i="1"/>
  <c r="I196" i="1"/>
  <c r="A197" i="1"/>
  <c r="B197" i="1"/>
  <c r="C197" i="1"/>
  <c r="D197" i="1"/>
  <c r="E197" i="1"/>
  <c r="F197" i="1"/>
  <c r="G197" i="1"/>
  <c r="H197" i="1"/>
  <c r="I197" i="1"/>
  <c r="A198" i="1"/>
  <c r="B198" i="1"/>
  <c r="C198" i="1"/>
  <c r="D198" i="1"/>
  <c r="E198" i="1"/>
  <c r="F198" i="1"/>
  <c r="G198" i="1"/>
  <c r="H198" i="1"/>
  <c r="I198" i="1"/>
  <c r="A199" i="1"/>
  <c r="B199" i="1"/>
  <c r="C199" i="1"/>
  <c r="D199" i="1"/>
  <c r="E199" i="1"/>
  <c r="F199" i="1"/>
  <c r="G199" i="1"/>
  <c r="H199" i="1"/>
  <c r="I199" i="1"/>
  <c r="A200" i="1"/>
  <c r="B200" i="1"/>
  <c r="C200" i="1"/>
  <c r="D200" i="1"/>
  <c r="E200" i="1"/>
  <c r="F200" i="1"/>
  <c r="G200" i="1"/>
  <c r="H200" i="1"/>
  <c r="I200" i="1"/>
  <c r="A201" i="1"/>
  <c r="B201" i="1"/>
  <c r="C201" i="1"/>
  <c r="D201" i="1"/>
  <c r="E201" i="1"/>
  <c r="F201" i="1"/>
  <c r="G201" i="1"/>
  <c r="H201" i="1"/>
  <c r="I201" i="1"/>
  <c r="A202" i="1"/>
  <c r="B202" i="1"/>
  <c r="C202" i="1"/>
  <c r="D202" i="1"/>
  <c r="E202" i="1"/>
  <c r="F202" i="1"/>
  <c r="G202" i="1"/>
  <c r="H202" i="1"/>
  <c r="I202" i="1"/>
  <c r="A203" i="1"/>
  <c r="B203" i="1"/>
  <c r="C203" i="1"/>
  <c r="D203" i="1"/>
  <c r="E203" i="1"/>
  <c r="F203" i="1"/>
  <c r="G203" i="1"/>
  <c r="H203" i="1"/>
  <c r="I203" i="1"/>
  <c r="A204" i="1"/>
  <c r="B204" i="1"/>
  <c r="C204" i="1"/>
  <c r="D204" i="1"/>
  <c r="E204" i="1"/>
  <c r="F204" i="1"/>
  <c r="G204" i="1"/>
  <c r="H204" i="1"/>
  <c r="I204" i="1"/>
  <c r="A205" i="1"/>
  <c r="B205" i="1"/>
  <c r="C205" i="1"/>
  <c r="D205" i="1"/>
  <c r="E205" i="1"/>
  <c r="F205" i="1"/>
  <c r="G205" i="1"/>
  <c r="H205" i="1"/>
  <c r="I205" i="1"/>
  <c r="A177" i="1"/>
  <c r="B177" i="1"/>
  <c r="C177" i="1"/>
  <c r="D177" i="1"/>
  <c r="E177" i="1"/>
  <c r="F177" i="1"/>
  <c r="G177" i="1"/>
  <c r="H177" i="1"/>
  <c r="I177" i="1"/>
  <c r="A178" i="1"/>
  <c r="B178" i="1"/>
  <c r="C178" i="1"/>
  <c r="D178" i="1"/>
  <c r="E178" i="1"/>
  <c r="F178" i="1"/>
  <c r="G178" i="1"/>
  <c r="H178" i="1"/>
  <c r="I178" i="1"/>
  <c r="A179" i="1"/>
  <c r="B179" i="1"/>
  <c r="C179" i="1"/>
  <c r="D179" i="1"/>
  <c r="E179" i="1"/>
  <c r="F179" i="1"/>
  <c r="G179" i="1"/>
  <c r="H179" i="1"/>
  <c r="I179" i="1"/>
  <c r="A180" i="1"/>
  <c r="B180" i="1"/>
  <c r="C180" i="1"/>
  <c r="D180" i="1"/>
  <c r="E180" i="1"/>
  <c r="F180" i="1"/>
  <c r="G180" i="1"/>
  <c r="H180" i="1"/>
  <c r="I180" i="1"/>
  <c r="A181" i="1"/>
  <c r="B181" i="1"/>
  <c r="C181" i="1"/>
  <c r="D181" i="1"/>
  <c r="E181" i="1"/>
  <c r="F181" i="1"/>
  <c r="G181" i="1"/>
  <c r="H181" i="1"/>
  <c r="I181" i="1"/>
  <c r="A182" i="1"/>
  <c r="B182" i="1"/>
  <c r="C182" i="1"/>
  <c r="D182" i="1"/>
  <c r="E182" i="1"/>
  <c r="F182" i="1"/>
  <c r="G182" i="1"/>
  <c r="H182" i="1"/>
  <c r="I182" i="1"/>
  <c r="A183" i="1"/>
  <c r="B183" i="1"/>
  <c r="C183" i="1"/>
  <c r="D183" i="1"/>
  <c r="E183" i="1"/>
  <c r="F183" i="1"/>
  <c r="G183" i="1"/>
  <c r="H183" i="1"/>
  <c r="I183" i="1"/>
  <c r="A184" i="1"/>
  <c r="B184" i="1"/>
  <c r="C184" i="1"/>
  <c r="D184" i="1"/>
  <c r="E184" i="1"/>
  <c r="F184" i="1"/>
  <c r="G184" i="1"/>
  <c r="H184" i="1"/>
  <c r="I184" i="1"/>
  <c r="A185" i="1"/>
  <c r="B185" i="1"/>
  <c r="C185" i="1"/>
  <c r="D185" i="1"/>
  <c r="E185" i="1"/>
  <c r="F185" i="1"/>
  <c r="G185" i="1"/>
  <c r="H185" i="1"/>
  <c r="I185" i="1"/>
  <c r="A186" i="1"/>
  <c r="B186" i="1"/>
  <c r="C186" i="1"/>
  <c r="D186" i="1"/>
  <c r="E186" i="1"/>
  <c r="F186" i="1"/>
  <c r="G186" i="1"/>
  <c r="H186" i="1"/>
  <c r="I186" i="1"/>
  <c r="A187" i="1"/>
  <c r="B187" i="1"/>
  <c r="C187" i="1"/>
  <c r="D187" i="1"/>
  <c r="E187" i="1"/>
  <c r="F187" i="1"/>
  <c r="G187" i="1"/>
  <c r="H187" i="1"/>
  <c r="I187" i="1"/>
  <c r="A188" i="1"/>
  <c r="B188" i="1"/>
  <c r="C188" i="1"/>
  <c r="D188" i="1"/>
  <c r="E188" i="1"/>
  <c r="F188" i="1"/>
  <c r="G188" i="1"/>
  <c r="H188" i="1"/>
  <c r="I188" i="1"/>
  <c r="A189" i="1"/>
  <c r="B189" i="1"/>
  <c r="C189" i="1"/>
  <c r="D189" i="1"/>
  <c r="E189" i="1"/>
  <c r="F189" i="1"/>
  <c r="G189" i="1"/>
  <c r="H189" i="1"/>
  <c r="I189" i="1"/>
  <c r="A190" i="1"/>
  <c r="B190" i="1"/>
  <c r="C190" i="1"/>
  <c r="D190" i="1"/>
  <c r="E190" i="1"/>
  <c r="F190" i="1"/>
  <c r="G190" i="1"/>
  <c r="H190" i="1"/>
  <c r="I190" i="1"/>
  <c r="A170" i="1"/>
  <c r="B170" i="1"/>
  <c r="C170" i="1"/>
  <c r="D170" i="1"/>
  <c r="E170" i="1"/>
  <c r="F170" i="1"/>
  <c r="G170" i="1"/>
  <c r="H170" i="1"/>
  <c r="I170" i="1"/>
  <c r="A171" i="1"/>
  <c r="B171" i="1"/>
  <c r="C171" i="1"/>
  <c r="D171" i="1"/>
  <c r="E171" i="1"/>
  <c r="F171" i="1"/>
  <c r="G171" i="1"/>
  <c r="H171" i="1"/>
  <c r="I171" i="1"/>
  <c r="A172" i="1"/>
  <c r="B172" i="1"/>
  <c r="C172" i="1"/>
  <c r="D172" i="1"/>
  <c r="E172" i="1"/>
  <c r="F172" i="1"/>
  <c r="G172" i="1"/>
  <c r="H172" i="1"/>
  <c r="I172" i="1"/>
  <c r="A173" i="1"/>
  <c r="B173" i="1"/>
  <c r="C173" i="1"/>
  <c r="D173" i="1"/>
  <c r="E173" i="1"/>
  <c r="F173" i="1"/>
  <c r="G173" i="1"/>
  <c r="H173" i="1"/>
  <c r="I173" i="1"/>
  <c r="A174" i="1"/>
  <c r="B174" i="1"/>
  <c r="C174" i="1"/>
  <c r="D174" i="1"/>
  <c r="E174" i="1"/>
  <c r="F174" i="1"/>
  <c r="G174" i="1"/>
  <c r="H174" i="1"/>
  <c r="I174" i="1"/>
  <c r="A175" i="1"/>
  <c r="B175" i="1"/>
  <c r="C175" i="1"/>
  <c r="D175" i="1"/>
  <c r="E175" i="1"/>
  <c r="F175" i="1"/>
  <c r="G175" i="1"/>
  <c r="H175" i="1"/>
  <c r="I175" i="1"/>
  <c r="A168" i="1"/>
  <c r="B168" i="1"/>
  <c r="C168" i="1"/>
  <c r="D168" i="1"/>
  <c r="E168" i="1"/>
  <c r="F168" i="1"/>
  <c r="G168" i="1"/>
  <c r="H168" i="1"/>
  <c r="I168" i="1"/>
  <c r="A162" i="1"/>
  <c r="B162" i="1"/>
  <c r="C162" i="1"/>
  <c r="D162" i="1"/>
  <c r="E162" i="1"/>
  <c r="F162" i="1"/>
  <c r="G162" i="1"/>
  <c r="H162" i="1"/>
  <c r="I162" i="1"/>
  <c r="A163" i="1"/>
  <c r="B163" i="1"/>
  <c r="C163" i="1"/>
  <c r="D163" i="1"/>
  <c r="E163" i="1"/>
  <c r="F163" i="1"/>
  <c r="G163" i="1"/>
  <c r="H163" i="1"/>
  <c r="I163" i="1"/>
  <c r="A164" i="1"/>
  <c r="B164" i="1"/>
  <c r="C164" i="1"/>
  <c r="D164" i="1"/>
  <c r="E164" i="1"/>
  <c r="F164" i="1"/>
  <c r="G164" i="1"/>
  <c r="H164" i="1"/>
  <c r="I164" i="1"/>
  <c r="A165" i="1"/>
  <c r="B165" i="1"/>
  <c r="C165" i="1"/>
  <c r="D165" i="1"/>
  <c r="E165" i="1"/>
  <c r="F165" i="1"/>
  <c r="G165" i="1"/>
  <c r="H165" i="1"/>
  <c r="I165" i="1"/>
  <c r="A166" i="1"/>
  <c r="B166" i="1"/>
  <c r="C166" i="1"/>
  <c r="D166" i="1"/>
  <c r="E166" i="1"/>
  <c r="F166" i="1"/>
  <c r="G166" i="1"/>
  <c r="H166" i="1"/>
  <c r="I166" i="1"/>
  <c r="A160" i="1"/>
  <c r="B160" i="1"/>
  <c r="C160" i="1"/>
  <c r="D160" i="1"/>
  <c r="E160" i="1"/>
  <c r="F160" i="1"/>
  <c r="G160" i="1"/>
  <c r="H160" i="1"/>
  <c r="I160" i="1"/>
  <c r="A158" i="1"/>
  <c r="B158" i="1"/>
  <c r="C158" i="1"/>
  <c r="D158" i="1"/>
  <c r="E158" i="1"/>
  <c r="F158" i="1"/>
  <c r="G158" i="1"/>
  <c r="H158" i="1"/>
  <c r="I158" i="1"/>
  <c r="A147" i="1"/>
  <c r="B147" i="1"/>
  <c r="C147" i="1"/>
  <c r="D147" i="1"/>
  <c r="E147" i="1"/>
  <c r="F147" i="1"/>
  <c r="G147" i="1"/>
  <c r="H147" i="1"/>
  <c r="I147" i="1"/>
  <c r="A148" i="1"/>
  <c r="B148" i="1"/>
  <c r="C148" i="1"/>
  <c r="D148" i="1"/>
  <c r="E148" i="1"/>
  <c r="F148" i="1"/>
  <c r="G148" i="1"/>
  <c r="H148" i="1"/>
  <c r="I148" i="1"/>
  <c r="A149" i="1"/>
  <c r="B149" i="1"/>
  <c r="C149" i="1"/>
  <c r="D149" i="1"/>
  <c r="E149" i="1"/>
  <c r="F149" i="1"/>
  <c r="G149" i="1"/>
  <c r="H149" i="1"/>
  <c r="I149" i="1"/>
  <c r="A150" i="1"/>
  <c r="B150" i="1"/>
  <c r="C150" i="1"/>
  <c r="D150" i="1"/>
  <c r="E150" i="1"/>
  <c r="F150" i="1"/>
  <c r="G150" i="1"/>
  <c r="H150" i="1"/>
  <c r="I150" i="1"/>
  <c r="A151" i="1"/>
  <c r="B151" i="1"/>
  <c r="C151" i="1"/>
  <c r="D151" i="1"/>
  <c r="E151" i="1"/>
  <c r="F151" i="1"/>
  <c r="G151" i="1"/>
  <c r="H151" i="1"/>
  <c r="I151" i="1"/>
  <c r="A152" i="1"/>
  <c r="B152" i="1"/>
  <c r="C152" i="1"/>
  <c r="D152" i="1"/>
  <c r="E152" i="1"/>
  <c r="F152" i="1"/>
  <c r="G152" i="1"/>
  <c r="H152" i="1"/>
  <c r="I152" i="1"/>
  <c r="A153" i="1"/>
  <c r="B153" i="1"/>
  <c r="C153" i="1"/>
  <c r="D153" i="1"/>
  <c r="E153" i="1"/>
  <c r="F153" i="1"/>
  <c r="G153" i="1"/>
  <c r="H153" i="1"/>
  <c r="I153" i="1"/>
  <c r="A154" i="1"/>
  <c r="B154" i="1"/>
  <c r="C154" i="1"/>
  <c r="D154" i="1"/>
  <c r="E154" i="1"/>
  <c r="F154" i="1"/>
  <c r="G154" i="1"/>
  <c r="H154" i="1"/>
  <c r="I154" i="1"/>
  <c r="A155" i="1"/>
  <c r="B155" i="1"/>
  <c r="C155" i="1"/>
  <c r="D155" i="1"/>
  <c r="E155" i="1"/>
  <c r="F155" i="1"/>
  <c r="G155" i="1"/>
  <c r="H155" i="1"/>
  <c r="I155" i="1"/>
  <c r="A156" i="1"/>
  <c r="B156" i="1"/>
  <c r="C156" i="1"/>
  <c r="D156" i="1"/>
  <c r="E156" i="1"/>
  <c r="F156" i="1"/>
  <c r="G156" i="1"/>
  <c r="H156" i="1"/>
  <c r="I156" i="1"/>
  <c r="A145" i="1"/>
  <c r="B145" i="1"/>
  <c r="C145" i="1"/>
  <c r="D145" i="1"/>
  <c r="E145" i="1"/>
  <c r="F145" i="1"/>
  <c r="G145" i="1"/>
  <c r="H145" i="1"/>
  <c r="I145" i="1"/>
  <c r="A141" i="1"/>
  <c r="B141" i="1"/>
  <c r="C141" i="1"/>
  <c r="D141" i="1"/>
  <c r="E141" i="1"/>
  <c r="F141" i="1"/>
  <c r="G141" i="1"/>
  <c r="H141" i="1"/>
  <c r="I141" i="1"/>
  <c r="A142" i="1"/>
  <c r="B142" i="1"/>
  <c r="C142" i="1"/>
  <c r="D142" i="1"/>
  <c r="E142" i="1"/>
  <c r="F142" i="1"/>
  <c r="G142" i="1"/>
  <c r="H142" i="1"/>
  <c r="I142" i="1"/>
  <c r="A143" i="1"/>
  <c r="B143" i="1"/>
  <c r="C143" i="1"/>
  <c r="D143" i="1"/>
  <c r="E143" i="1"/>
  <c r="F143" i="1"/>
  <c r="G143" i="1"/>
  <c r="H143" i="1"/>
  <c r="I143" i="1"/>
  <c r="A123" i="1"/>
  <c r="B123" i="1"/>
  <c r="C123" i="1"/>
  <c r="D123" i="1"/>
  <c r="E123" i="1"/>
  <c r="F123" i="1"/>
  <c r="G123" i="1"/>
  <c r="H123" i="1"/>
  <c r="I123" i="1"/>
  <c r="A124" i="1"/>
  <c r="B124" i="1"/>
  <c r="C124" i="1"/>
  <c r="D124" i="1"/>
  <c r="E124" i="1"/>
  <c r="F124" i="1"/>
  <c r="G124" i="1"/>
  <c r="H124" i="1"/>
  <c r="I124" i="1"/>
  <c r="A125" i="1"/>
  <c r="B125" i="1"/>
  <c r="C125" i="1"/>
  <c r="D125" i="1"/>
  <c r="E125" i="1"/>
  <c r="F125" i="1"/>
  <c r="G125" i="1"/>
  <c r="H125" i="1"/>
  <c r="I125" i="1"/>
  <c r="A126" i="1"/>
  <c r="B126" i="1"/>
  <c r="C126" i="1"/>
  <c r="D126" i="1"/>
  <c r="E126" i="1"/>
  <c r="F126" i="1"/>
  <c r="G126" i="1"/>
  <c r="H126" i="1"/>
  <c r="I126" i="1"/>
  <c r="A127" i="1"/>
  <c r="B127" i="1"/>
  <c r="C127" i="1"/>
  <c r="D127" i="1"/>
  <c r="E127" i="1"/>
  <c r="F127" i="1"/>
  <c r="G127" i="1"/>
  <c r="H127" i="1"/>
  <c r="I127" i="1"/>
  <c r="A128" i="1"/>
  <c r="B128" i="1"/>
  <c r="C128" i="1"/>
  <c r="D128" i="1"/>
  <c r="E128" i="1"/>
  <c r="F128" i="1"/>
  <c r="G128" i="1"/>
  <c r="H128" i="1"/>
  <c r="I128" i="1"/>
  <c r="A129" i="1"/>
  <c r="B129" i="1"/>
  <c r="C129" i="1"/>
  <c r="D129" i="1"/>
  <c r="E129" i="1"/>
  <c r="F129" i="1"/>
  <c r="G129" i="1"/>
  <c r="H129" i="1"/>
  <c r="I129" i="1"/>
  <c r="A130" i="1"/>
  <c r="B130" i="1"/>
  <c r="C130" i="1"/>
  <c r="D130" i="1"/>
  <c r="E130" i="1"/>
  <c r="F130" i="1"/>
  <c r="G130" i="1"/>
  <c r="H130" i="1"/>
  <c r="I130" i="1"/>
  <c r="A131" i="1"/>
  <c r="B131" i="1"/>
  <c r="C131" i="1"/>
  <c r="D131" i="1"/>
  <c r="E131" i="1"/>
  <c r="F131" i="1"/>
  <c r="G131" i="1"/>
  <c r="H131" i="1"/>
  <c r="I131" i="1"/>
  <c r="A132" i="1"/>
  <c r="B132" i="1"/>
  <c r="C132" i="1"/>
  <c r="D132" i="1"/>
  <c r="E132" i="1"/>
  <c r="F132" i="1"/>
  <c r="G132" i="1"/>
  <c r="H132" i="1"/>
  <c r="I132" i="1"/>
  <c r="A133" i="1"/>
  <c r="B133" i="1"/>
  <c r="C133" i="1"/>
  <c r="D133" i="1"/>
  <c r="E133" i="1"/>
  <c r="F133" i="1"/>
  <c r="G133" i="1"/>
  <c r="H133" i="1"/>
  <c r="I133" i="1"/>
  <c r="A134" i="1"/>
  <c r="B134" i="1"/>
  <c r="C134" i="1"/>
  <c r="D134" i="1"/>
  <c r="E134" i="1"/>
  <c r="F134" i="1"/>
  <c r="G134" i="1"/>
  <c r="H134" i="1"/>
  <c r="I134" i="1"/>
  <c r="A135" i="1"/>
  <c r="B135" i="1"/>
  <c r="C135" i="1"/>
  <c r="D135" i="1"/>
  <c r="E135" i="1"/>
  <c r="F135" i="1"/>
  <c r="G135" i="1"/>
  <c r="H135" i="1"/>
  <c r="I135" i="1"/>
  <c r="A136" i="1"/>
  <c r="B136" i="1"/>
  <c r="C136" i="1"/>
  <c r="D136" i="1"/>
  <c r="E136" i="1"/>
  <c r="F136" i="1"/>
  <c r="G136" i="1"/>
  <c r="H136" i="1"/>
  <c r="I136" i="1"/>
  <c r="A137" i="1"/>
  <c r="B137" i="1"/>
  <c r="C137" i="1"/>
  <c r="D137" i="1"/>
  <c r="E137" i="1"/>
  <c r="F137" i="1"/>
  <c r="G137" i="1"/>
  <c r="H137" i="1"/>
  <c r="I137" i="1"/>
  <c r="A138" i="1"/>
  <c r="B138" i="1"/>
  <c r="C138" i="1"/>
  <c r="D138" i="1"/>
  <c r="E138" i="1"/>
  <c r="F138" i="1"/>
  <c r="G138" i="1"/>
  <c r="H138" i="1"/>
  <c r="I138" i="1"/>
  <c r="A139" i="1"/>
  <c r="B139" i="1"/>
  <c r="C139" i="1"/>
  <c r="D139" i="1"/>
  <c r="E139" i="1"/>
  <c r="F139" i="1"/>
  <c r="G139" i="1"/>
  <c r="H139" i="1"/>
  <c r="I139" i="1"/>
  <c r="A120" i="1"/>
  <c r="B120" i="1"/>
  <c r="C120" i="1"/>
  <c r="D120" i="1"/>
  <c r="E120" i="1"/>
  <c r="F120" i="1"/>
  <c r="G120" i="1"/>
  <c r="H120" i="1"/>
  <c r="I120" i="1"/>
  <c r="A121" i="1"/>
  <c r="B121" i="1"/>
  <c r="C121" i="1"/>
  <c r="D121" i="1"/>
  <c r="E121" i="1"/>
  <c r="F121" i="1"/>
  <c r="G121" i="1"/>
  <c r="H121" i="1"/>
  <c r="I121" i="1"/>
  <c r="A116" i="1"/>
  <c r="B116" i="1"/>
  <c r="C116" i="1"/>
  <c r="D116" i="1"/>
  <c r="E116" i="1"/>
  <c r="F116" i="1"/>
  <c r="G116" i="1"/>
  <c r="H116" i="1"/>
  <c r="I116" i="1"/>
  <c r="A117" i="1"/>
  <c r="B117" i="1"/>
  <c r="C117" i="1"/>
  <c r="D117" i="1"/>
  <c r="E117" i="1"/>
  <c r="F117" i="1"/>
  <c r="G117" i="1"/>
  <c r="H117" i="1"/>
  <c r="I117" i="1"/>
  <c r="A118" i="1"/>
  <c r="B118" i="1"/>
  <c r="C118" i="1"/>
  <c r="D118" i="1"/>
  <c r="E118" i="1"/>
  <c r="F118" i="1"/>
  <c r="G118" i="1"/>
  <c r="H118" i="1"/>
  <c r="I118" i="1"/>
  <c r="A114" i="1"/>
  <c r="B114" i="1"/>
  <c r="C114" i="1"/>
  <c r="D114" i="1"/>
  <c r="E114" i="1"/>
  <c r="F114" i="1"/>
  <c r="G114" i="1"/>
  <c r="H114" i="1"/>
  <c r="I114" i="1"/>
  <c r="A103" i="1"/>
  <c r="B103" i="1"/>
  <c r="C103" i="1"/>
  <c r="D103" i="1"/>
  <c r="E103" i="1"/>
  <c r="F103" i="1"/>
  <c r="G103" i="1"/>
  <c r="H103" i="1"/>
  <c r="I103" i="1"/>
  <c r="A104" i="1"/>
  <c r="B104" i="1"/>
  <c r="C104" i="1"/>
  <c r="D104" i="1"/>
  <c r="E104" i="1"/>
  <c r="F104" i="1"/>
  <c r="G104" i="1"/>
  <c r="H104" i="1"/>
  <c r="I104" i="1"/>
  <c r="A105" i="1"/>
  <c r="B105" i="1"/>
  <c r="C105" i="1"/>
  <c r="D105" i="1"/>
  <c r="E105" i="1"/>
  <c r="F105" i="1"/>
  <c r="G105" i="1"/>
  <c r="H105" i="1"/>
  <c r="I105" i="1"/>
  <c r="A106" i="1"/>
  <c r="B106" i="1"/>
  <c r="C106" i="1"/>
  <c r="D106" i="1"/>
  <c r="E106" i="1"/>
  <c r="F106" i="1"/>
  <c r="G106" i="1"/>
  <c r="H106" i="1"/>
  <c r="I106" i="1"/>
  <c r="A107" i="1"/>
  <c r="B107" i="1"/>
  <c r="C107" i="1"/>
  <c r="D107" i="1"/>
  <c r="E107" i="1"/>
  <c r="F107" i="1"/>
  <c r="G107" i="1"/>
  <c r="H107" i="1"/>
  <c r="I107" i="1"/>
  <c r="A108" i="1"/>
  <c r="B108" i="1"/>
  <c r="C108" i="1"/>
  <c r="D108" i="1"/>
  <c r="E108" i="1"/>
  <c r="F108" i="1"/>
  <c r="G108" i="1"/>
  <c r="H108" i="1"/>
  <c r="I108" i="1"/>
  <c r="A109" i="1"/>
  <c r="B109" i="1"/>
  <c r="C109" i="1"/>
  <c r="D109" i="1"/>
  <c r="E109" i="1"/>
  <c r="F109" i="1"/>
  <c r="G109" i="1"/>
  <c r="H109" i="1"/>
  <c r="I109" i="1"/>
  <c r="A110" i="1"/>
  <c r="B110" i="1"/>
  <c r="C110" i="1"/>
  <c r="D110" i="1"/>
  <c r="E110" i="1"/>
  <c r="F110" i="1"/>
  <c r="G110" i="1"/>
  <c r="H110" i="1"/>
  <c r="I110" i="1"/>
  <c r="A111" i="1"/>
  <c r="B111" i="1"/>
  <c r="C111" i="1"/>
  <c r="D111" i="1"/>
  <c r="E111" i="1"/>
  <c r="F111" i="1"/>
  <c r="G111" i="1"/>
  <c r="H111" i="1"/>
  <c r="I111" i="1"/>
  <c r="A112" i="1"/>
  <c r="B112" i="1"/>
  <c r="C112" i="1"/>
  <c r="D112" i="1"/>
  <c r="E112" i="1"/>
  <c r="F112" i="1"/>
  <c r="G112" i="1"/>
  <c r="H112" i="1"/>
  <c r="I112" i="1"/>
  <c r="A93" i="1"/>
  <c r="B93" i="1"/>
  <c r="C93" i="1"/>
  <c r="D93" i="1"/>
  <c r="E93" i="1"/>
  <c r="F93" i="1"/>
  <c r="G93" i="1"/>
  <c r="H93" i="1"/>
  <c r="I93" i="1"/>
  <c r="A94" i="1"/>
  <c r="B94" i="1"/>
  <c r="C94" i="1"/>
  <c r="D94" i="1"/>
  <c r="E94" i="1"/>
  <c r="F94" i="1"/>
  <c r="G94" i="1"/>
  <c r="H94" i="1"/>
  <c r="I94" i="1"/>
  <c r="A95" i="1"/>
  <c r="B95" i="1"/>
  <c r="C95" i="1"/>
  <c r="D95" i="1"/>
  <c r="E95" i="1"/>
  <c r="F95" i="1"/>
  <c r="G95" i="1"/>
  <c r="H95" i="1"/>
  <c r="I95" i="1"/>
  <c r="A96" i="1"/>
  <c r="B96" i="1"/>
  <c r="C96" i="1"/>
  <c r="D96" i="1"/>
  <c r="E96" i="1"/>
  <c r="F96" i="1"/>
  <c r="G96" i="1"/>
  <c r="H96" i="1"/>
  <c r="I96" i="1"/>
  <c r="A97" i="1"/>
  <c r="B97" i="1"/>
  <c r="C97" i="1"/>
  <c r="D97" i="1"/>
  <c r="E97" i="1"/>
  <c r="F97" i="1"/>
  <c r="G97" i="1"/>
  <c r="H97" i="1"/>
  <c r="I97" i="1"/>
  <c r="A98" i="1"/>
  <c r="B98" i="1"/>
  <c r="C98" i="1"/>
  <c r="D98" i="1"/>
  <c r="E98" i="1"/>
  <c r="F98" i="1"/>
  <c r="G98" i="1"/>
  <c r="H98" i="1"/>
  <c r="I98" i="1"/>
  <c r="A99" i="1"/>
  <c r="B99" i="1"/>
  <c r="C99" i="1"/>
  <c r="D99" i="1"/>
  <c r="E99" i="1"/>
  <c r="F99" i="1"/>
  <c r="G99" i="1"/>
  <c r="H99" i="1"/>
  <c r="I99" i="1"/>
  <c r="A100" i="1"/>
  <c r="B100" i="1"/>
  <c r="C100" i="1"/>
  <c r="D100" i="1"/>
  <c r="E100" i="1"/>
  <c r="F100" i="1"/>
  <c r="G100" i="1"/>
  <c r="H100" i="1"/>
  <c r="I100" i="1"/>
  <c r="A101" i="1"/>
  <c r="B101" i="1"/>
  <c r="C101" i="1"/>
  <c r="D101" i="1"/>
  <c r="E101" i="1"/>
  <c r="F101" i="1"/>
  <c r="G101" i="1"/>
  <c r="H101" i="1"/>
  <c r="I101" i="1"/>
  <c r="A83" i="1"/>
  <c r="B83" i="1"/>
  <c r="C83" i="1"/>
  <c r="D83" i="1"/>
  <c r="E83" i="1"/>
  <c r="F83" i="1"/>
  <c r="G83" i="1"/>
  <c r="H83" i="1"/>
  <c r="I83" i="1"/>
  <c r="A84" i="1"/>
  <c r="B84" i="1"/>
  <c r="C84" i="1"/>
  <c r="D84" i="1"/>
  <c r="E84" i="1"/>
  <c r="F84" i="1"/>
  <c r="G84" i="1"/>
  <c r="H84" i="1"/>
  <c r="I84" i="1"/>
  <c r="A85" i="1"/>
  <c r="B85" i="1"/>
  <c r="C85" i="1"/>
  <c r="D85" i="1"/>
  <c r="E85" i="1"/>
  <c r="F85" i="1"/>
  <c r="G85" i="1"/>
  <c r="H85" i="1"/>
  <c r="I85" i="1"/>
  <c r="A86" i="1"/>
  <c r="B86" i="1"/>
  <c r="C86" i="1"/>
  <c r="D86" i="1"/>
  <c r="E86" i="1"/>
  <c r="F86" i="1"/>
  <c r="G86" i="1"/>
  <c r="H86" i="1"/>
  <c r="I86" i="1"/>
  <c r="A87" i="1"/>
  <c r="B87" i="1"/>
  <c r="C87" i="1"/>
  <c r="D87" i="1"/>
  <c r="E87" i="1"/>
  <c r="F87" i="1"/>
  <c r="G87" i="1"/>
  <c r="H87" i="1"/>
  <c r="I87" i="1"/>
  <c r="A88" i="1"/>
  <c r="B88" i="1"/>
  <c r="C88" i="1"/>
  <c r="D88" i="1"/>
  <c r="E88" i="1"/>
  <c r="F88" i="1"/>
  <c r="G88" i="1"/>
  <c r="H88" i="1"/>
  <c r="I88" i="1"/>
  <c r="A89" i="1"/>
  <c r="B89" i="1"/>
  <c r="C89" i="1"/>
  <c r="D89" i="1"/>
  <c r="E89" i="1"/>
  <c r="F89" i="1"/>
  <c r="G89" i="1"/>
  <c r="H89" i="1"/>
  <c r="I89" i="1"/>
  <c r="A90" i="1"/>
  <c r="B90" i="1"/>
  <c r="C90" i="1"/>
  <c r="D90" i="1"/>
  <c r="E90" i="1"/>
  <c r="F90" i="1"/>
  <c r="G90" i="1"/>
  <c r="H90" i="1"/>
  <c r="I90" i="1"/>
  <c r="A91" i="1"/>
  <c r="B91" i="1"/>
  <c r="C91" i="1"/>
  <c r="D91" i="1"/>
  <c r="E91" i="1"/>
  <c r="F91" i="1"/>
  <c r="G91" i="1"/>
  <c r="H91" i="1"/>
  <c r="I91" i="1"/>
  <c r="A78" i="1"/>
  <c r="B78" i="1"/>
  <c r="C78" i="1"/>
  <c r="D78" i="1"/>
  <c r="E78" i="1"/>
  <c r="F78" i="1"/>
  <c r="G78" i="1"/>
  <c r="H78" i="1"/>
  <c r="I78" i="1"/>
  <c r="A79" i="1"/>
  <c r="B79" i="1"/>
  <c r="C79" i="1"/>
  <c r="D79" i="1"/>
  <c r="E79" i="1"/>
  <c r="F79" i="1"/>
  <c r="G79" i="1"/>
  <c r="H79" i="1"/>
  <c r="I79" i="1"/>
  <c r="A80" i="1"/>
  <c r="B80" i="1"/>
  <c r="C80" i="1"/>
  <c r="D80" i="1"/>
  <c r="E80" i="1"/>
  <c r="F80" i="1"/>
  <c r="G80" i="1"/>
  <c r="H80" i="1"/>
  <c r="I80" i="1"/>
  <c r="A81" i="1"/>
  <c r="B81" i="1"/>
  <c r="C81" i="1"/>
  <c r="D81" i="1"/>
  <c r="E81" i="1"/>
  <c r="F81" i="1"/>
  <c r="G81" i="1"/>
  <c r="H81" i="1"/>
  <c r="I81" i="1"/>
  <c r="A74" i="1"/>
  <c r="B74" i="1"/>
  <c r="C74" i="1"/>
  <c r="D74" i="1"/>
  <c r="E74" i="1"/>
  <c r="F74" i="1"/>
  <c r="G74" i="1"/>
  <c r="H74" i="1"/>
  <c r="I74" i="1"/>
  <c r="A75" i="1"/>
  <c r="B75" i="1"/>
  <c r="C75" i="1"/>
  <c r="D75" i="1"/>
  <c r="E75" i="1"/>
  <c r="F75" i="1"/>
  <c r="G75" i="1"/>
  <c r="H75" i="1"/>
  <c r="I75" i="1"/>
  <c r="A76" i="1"/>
  <c r="B76" i="1"/>
  <c r="C76" i="1"/>
  <c r="D76" i="1"/>
  <c r="E76" i="1"/>
  <c r="F76" i="1"/>
  <c r="G76" i="1"/>
  <c r="H76" i="1"/>
  <c r="I76" i="1"/>
  <c r="A69" i="1"/>
  <c r="B69" i="1"/>
  <c r="C69" i="1"/>
  <c r="D69" i="1"/>
  <c r="E69" i="1"/>
  <c r="F69" i="1"/>
  <c r="G69" i="1"/>
  <c r="H69" i="1"/>
  <c r="I69" i="1"/>
  <c r="A70" i="1"/>
  <c r="B70" i="1"/>
  <c r="C70" i="1"/>
  <c r="D70" i="1"/>
  <c r="E70" i="1"/>
  <c r="F70" i="1"/>
  <c r="G70" i="1"/>
  <c r="H70" i="1"/>
  <c r="I70" i="1"/>
  <c r="A71" i="1"/>
  <c r="B71" i="1"/>
  <c r="C71" i="1"/>
  <c r="D71" i="1"/>
  <c r="E71" i="1"/>
  <c r="F71" i="1"/>
  <c r="G71" i="1"/>
  <c r="H71" i="1"/>
  <c r="I71" i="1"/>
  <c r="A72" i="1"/>
  <c r="B72" i="1"/>
  <c r="C72" i="1"/>
  <c r="D72" i="1"/>
  <c r="E72" i="1"/>
  <c r="F72" i="1"/>
  <c r="G72" i="1"/>
  <c r="H72" i="1"/>
  <c r="I72" i="1"/>
  <c r="A65" i="1"/>
  <c r="B65" i="1"/>
  <c r="C65" i="1"/>
  <c r="D65" i="1"/>
  <c r="E65" i="1"/>
  <c r="F65" i="1"/>
  <c r="G65" i="1"/>
  <c r="H65" i="1"/>
  <c r="I65" i="1"/>
  <c r="A66" i="1"/>
  <c r="B66" i="1"/>
  <c r="C66" i="1"/>
  <c r="D66" i="1"/>
  <c r="E66" i="1"/>
  <c r="F66" i="1"/>
  <c r="G66" i="1"/>
  <c r="H66" i="1"/>
  <c r="I66" i="1"/>
  <c r="A67" i="1"/>
  <c r="B67" i="1"/>
  <c r="C67" i="1"/>
  <c r="D67" i="1"/>
  <c r="E67" i="1"/>
  <c r="F67" i="1"/>
  <c r="G67" i="1"/>
  <c r="H67" i="1"/>
  <c r="I67" i="1"/>
  <c r="A58" i="1"/>
  <c r="B58" i="1"/>
  <c r="C58" i="1"/>
  <c r="D58" i="1"/>
  <c r="E58" i="1"/>
  <c r="F58" i="1"/>
  <c r="G58" i="1"/>
  <c r="H58" i="1"/>
  <c r="I58" i="1"/>
  <c r="A59" i="1"/>
  <c r="B59" i="1"/>
  <c r="C59" i="1"/>
  <c r="D59" i="1"/>
  <c r="E59" i="1"/>
  <c r="F59" i="1"/>
  <c r="G59" i="1"/>
  <c r="H59" i="1"/>
  <c r="I59" i="1"/>
  <c r="A60" i="1"/>
  <c r="B60" i="1"/>
  <c r="C60" i="1"/>
  <c r="D60" i="1"/>
  <c r="E60" i="1"/>
  <c r="F60" i="1"/>
  <c r="G60" i="1"/>
  <c r="H60" i="1"/>
  <c r="I60" i="1"/>
  <c r="A61" i="1"/>
  <c r="B61" i="1"/>
  <c r="C61" i="1"/>
  <c r="D61" i="1"/>
  <c r="E61" i="1"/>
  <c r="F61" i="1"/>
  <c r="G61" i="1"/>
  <c r="H61" i="1"/>
  <c r="I61" i="1"/>
  <c r="A62" i="1"/>
  <c r="B62" i="1"/>
  <c r="C62" i="1"/>
  <c r="D62" i="1"/>
  <c r="E62" i="1"/>
  <c r="F62" i="1"/>
  <c r="G62" i="1"/>
  <c r="H62" i="1"/>
  <c r="I62" i="1"/>
  <c r="A63" i="1"/>
  <c r="B63" i="1"/>
  <c r="C63" i="1"/>
  <c r="D63" i="1"/>
  <c r="E63" i="1"/>
  <c r="F63" i="1"/>
  <c r="G63" i="1"/>
  <c r="H63" i="1"/>
  <c r="I63" i="1"/>
  <c r="A42" i="1"/>
  <c r="B42" i="1"/>
  <c r="C42" i="1"/>
  <c r="D42" i="1"/>
  <c r="E42" i="1"/>
  <c r="F42" i="1"/>
  <c r="G42" i="1"/>
  <c r="H42" i="1"/>
  <c r="I42" i="1"/>
  <c r="A43" i="1"/>
  <c r="B43" i="1"/>
  <c r="C43" i="1"/>
  <c r="D43" i="1"/>
  <c r="E43" i="1"/>
  <c r="F43" i="1"/>
  <c r="G43" i="1"/>
  <c r="H43" i="1"/>
  <c r="I43" i="1"/>
  <c r="A44" i="1"/>
  <c r="B44" i="1"/>
  <c r="C44" i="1"/>
  <c r="D44" i="1"/>
  <c r="E44" i="1"/>
  <c r="F44" i="1"/>
  <c r="G44" i="1"/>
  <c r="H44" i="1"/>
  <c r="I44" i="1"/>
  <c r="A45" i="1"/>
  <c r="B45" i="1"/>
  <c r="C45" i="1"/>
  <c r="D45" i="1"/>
  <c r="E45" i="1"/>
  <c r="F45" i="1"/>
  <c r="G45" i="1"/>
  <c r="H45" i="1"/>
  <c r="I45" i="1"/>
  <c r="A46" i="1"/>
  <c r="B46" i="1"/>
  <c r="C46" i="1"/>
  <c r="D46" i="1"/>
  <c r="E46" i="1"/>
  <c r="F46" i="1"/>
  <c r="G46" i="1"/>
  <c r="H46" i="1"/>
  <c r="I46" i="1"/>
  <c r="A47" i="1"/>
  <c r="B47" i="1"/>
  <c r="C47" i="1"/>
  <c r="D47" i="1"/>
  <c r="E47" i="1"/>
  <c r="F47" i="1"/>
  <c r="G47" i="1"/>
  <c r="H47" i="1"/>
  <c r="I47" i="1"/>
  <c r="A48" i="1"/>
  <c r="B48" i="1"/>
  <c r="C48" i="1"/>
  <c r="D48" i="1"/>
  <c r="E48" i="1"/>
  <c r="F48" i="1"/>
  <c r="G48" i="1"/>
  <c r="H48" i="1"/>
  <c r="I48" i="1"/>
  <c r="A49" i="1"/>
  <c r="B49" i="1"/>
  <c r="C49" i="1"/>
  <c r="D49" i="1"/>
  <c r="E49" i="1"/>
  <c r="F49" i="1"/>
  <c r="G49" i="1"/>
  <c r="H49" i="1"/>
  <c r="I49" i="1"/>
  <c r="A50" i="1"/>
  <c r="B50" i="1"/>
  <c r="C50" i="1"/>
  <c r="D50" i="1"/>
  <c r="E50" i="1"/>
  <c r="F50" i="1"/>
  <c r="G50" i="1"/>
  <c r="H50" i="1"/>
  <c r="I50" i="1"/>
  <c r="A51" i="1"/>
  <c r="B51" i="1"/>
  <c r="C51" i="1"/>
  <c r="D51" i="1"/>
  <c r="E51" i="1"/>
  <c r="F51" i="1"/>
  <c r="G51" i="1"/>
  <c r="H51" i="1"/>
  <c r="I51" i="1"/>
  <c r="A52" i="1"/>
  <c r="B52" i="1"/>
  <c r="C52" i="1"/>
  <c r="D52" i="1"/>
  <c r="E52" i="1"/>
  <c r="F52" i="1"/>
  <c r="G52" i="1"/>
  <c r="H52" i="1"/>
  <c r="I52" i="1"/>
  <c r="A53" i="1"/>
  <c r="B53" i="1"/>
  <c r="C53" i="1"/>
  <c r="D53" i="1"/>
  <c r="E53" i="1"/>
  <c r="F53" i="1"/>
  <c r="G53" i="1"/>
  <c r="H53" i="1"/>
  <c r="I53" i="1"/>
  <c r="A54" i="1"/>
  <c r="B54" i="1"/>
  <c r="C54" i="1"/>
  <c r="D54" i="1"/>
  <c r="E54" i="1"/>
  <c r="F54" i="1"/>
  <c r="G54" i="1"/>
  <c r="H54" i="1"/>
  <c r="I54" i="1"/>
  <c r="A55" i="1"/>
  <c r="B55" i="1"/>
  <c r="C55" i="1"/>
  <c r="D55" i="1"/>
  <c r="E55" i="1"/>
  <c r="F55" i="1"/>
  <c r="G55" i="1"/>
  <c r="H55" i="1"/>
  <c r="I55" i="1"/>
  <c r="A56" i="1"/>
  <c r="B56" i="1"/>
  <c r="C56" i="1"/>
  <c r="D56" i="1"/>
  <c r="E56" i="1"/>
  <c r="F56" i="1"/>
  <c r="G56" i="1"/>
  <c r="H56" i="1"/>
  <c r="I56" i="1"/>
  <c r="A15" i="1"/>
  <c r="B15" i="1"/>
  <c r="C15" i="1"/>
  <c r="D15" i="1"/>
  <c r="E15" i="1"/>
  <c r="F15" i="1"/>
  <c r="G15" i="1"/>
  <c r="H15" i="1"/>
  <c r="I15" i="1"/>
  <c r="A16" i="1"/>
  <c r="B16" i="1"/>
  <c r="C16" i="1"/>
  <c r="D16" i="1"/>
  <c r="E16" i="1"/>
  <c r="F16" i="1"/>
  <c r="G16" i="1"/>
  <c r="H16" i="1"/>
  <c r="I16" i="1"/>
  <c r="A17" i="1"/>
  <c r="B17" i="1"/>
  <c r="C17" i="1"/>
  <c r="D17" i="1"/>
  <c r="E17" i="1"/>
  <c r="F17" i="1"/>
  <c r="G17" i="1"/>
  <c r="H17" i="1"/>
  <c r="I17" i="1"/>
  <c r="A18" i="1"/>
  <c r="B18" i="1"/>
  <c r="C18" i="1"/>
  <c r="D18" i="1"/>
  <c r="E18" i="1"/>
  <c r="F18" i="1"/>
  <c r="G18" i="1"/>
  <c r="H18" i="1"/>
  <c r="I18" i="1"/>
  <c r="A19" i="1"/>
  <c r="B19" i="1"/>
  <c r="C19" i="1"/>
  <c r="D19" i="1"/>
  <c r="E19" i="1"/>
  <c r="F19" i="1"/>
  <c r="G19" i="1"/>
  <c r="H19" i="1"/>
  <c r="I19" i="1"/>
  <c r="A20" i="1"/>
  <c r="B20" i="1"/>
  <c r="C20" i="1"/>
  <c r="D20" i="1"/>
  <c r="E20" i="1"/>
  <c r="F20" i="1"/>
  <c r="G20" i="1"/>
  <c r="H20" i="1"/>
  <c r="I20" i="1"/>
  <c r="A21" i="1"/>
  <c r="B21" i="1"/>
  <c r="C21" i="1"/>
  <c r="D21" i="1"/>
  <c r="E21" i="1"/>
  <c r="F21" i="1"/>
  <c r="G21" i="1"/>
  <c r="H21" i="1"/>
  <c r="I21" i="1"/>
  <c r="A22" i="1"/>
  <c r="B22" i="1"/>
  <c r="C22" i="1"/>
  <c r="D22" i="1"/>
  <c r="E22" i="1"/>
  <c r="F22" i="1"/>
  <c r="G22" i="1"/>
  <c r="H22" i="1"/>
  <c r="I22" i="1"/>
  <c r="A23" i="1"/>
  <c r="B23" i="1"/>
  <c r="C23" i="1"/>
  <c r="D23" i="1"/>
  <c r="E23" i="1"/>
  <c r="F23" i="1"/>
  <c r="G23" i="1"/>
  <c r="H23" i="1"/>
  <c r="I23" i="1"/>
  <c r="A24" i="1"/>
  <c r="B24" i="1"/>
  <c r="C24" i="1"/>
  <c r="D24" i="1"/>
  <c r="E24" i="1"/>
  <c r="F24" i="1"/>
  <c r="G24" i="1"/>
  <c r="H24" i="1"/>
  <c r="I24" i="1"/>
  <c r="A25" i="1"/>
  <c r="B25" i="1"/>
  <c r="C25" i="1"/>
  <c r="D25" i="1"/>
  <c r="E25" i="1"/>
  <c r="F25" i="1"/>
  <c r="G25" i="1"/>
  <c r="H25" i="1"/>
  <c r="I25" i="1"/>
  <c r="A26" i="1"/>
  <c r="B26" i="1"/>
  <c r="C26" i="1"/>
  <c r="D26" i="1"/>
  <c r="E26" i="1"/>
  <c r="F26" i="1"/>
  <c r="G26" i="1"/>
  <c r="H26" i="1"/>
  <c r="I26" i="1"/>
  <c r="A27" i="1"/>
  <c r="B27" i="1"/>
  <c r="C27" i="1"/>
  <c r="D27" i="1"/>
  <c r="E27" i="1"/>
  <c r="F27" i="1"/>
  <c r="G27" i="1"/>
  <c r="H27" i="1"/>
  <c r="I27" i="1"/>
  <c r="A28" i="1"/>
  <c r="B28" i="1"/>
  <c r="C28" i="1"/>
  <c r="D28" i="1"/>
  <c r="E28" i="1"/>
  <c r="F28" i="1"/>
  <c r="G28" i="1"/>
  <c r="H28" i="1"/>
  <c r="I28" i="1"/>
  <c r="A29" i="1"/>
  <c r="B29" i="1"/>
  <c r="C29" i="1"/>
  <c r="D29" i="1"/>
  <c r="E29" i="1"/>
  <c r="F29" i="1"/>
  <c r="G29" i="1"/>
  <c r="H29" i="1"/>
  <c r="I29" i="1"/>
  <c r="A30" i="1"/>
  <c r="B30" i="1"/>
  <c r="C30" i="1"/>
  <c r="D30" i="1"/>
  <c r="E30" i="1"/>
  <c r="F30" i="1"/>
  <c r="G30" i="1"/>
  <c r="H30" i="1"/>
  <c r="I30" i="1"/>
  <c r="A31" i="1"/>
  <c r="B31" i="1"/>
  <c r="C31" i="1"/>
  <c r="D31" i="1"/>
  <c r="E31" i="1"/>
  <c r="F31" i="1"/>
  <c r="G31" i="1"/>
  <c r="H31" i="1"/>
  <c r="I31" i="1"/>
  <c r="A32" i="1"/>
  <c r="B32" i="1"/>
  <c r="C32" i="1"/>
  <c r="D32" i="1"/>
  <c r="E32" i="1"/>
  <c r="F32" i="1"/>
  <c r="G32" i="1"/>
  <c r="H32" i="1"/>
  <c r="I32" i="1"/>
  <c r="A33" i="1"/>
  <c r="B33" i="1"/>
  <c r="C33" i="1"/>
  <c r="D33" i="1"/>
  <c r="E33" i="1"/>
  <c r="F33" i="1"/>
  <c r="G33" i="1"/>
  <c r="H33" i="1"/>
  <c r="I33" i="1"/>
  <c r="A34" i="1"/>
  <c r="B34" i="1"/>
  <c r="C34" i="1"/>
  <c r="D34" i="1"/>
  <c r="E34" i="1"/>
  <c r="F34" i="1"/>
  <c r="G34" i="1"/>
  <c r="H34" i="1"/>
  <c r="I34" i="1"/>
  <c r="A35" i="1"/>
  <c r="B35" i="1"/>
  <c r="C35" i="1"/>
  <c r="D35" i="1"/>
  <c r="E35" i="1"/>
  <c r="F35" i="1"/>
  <c r="G35" i="1"/>
  <c r="H35" i="1"/>
  <c r="I35" i="1"/>
  <c r="A36" i="1"/>
  <c r="B36" i="1"/>
  <c r="C36" i="1"/>
  <c r="D36" i="1"/>
  <c r="E36" i="1"/>
  <c r="F36" i="1"/>
  <c r="G36" i="1"/>
  <c r="H36" i="1"/>
  <c r="I36" i="1"/>
  <c r="A37" i="1"/>
  <c r="B37" i="1"/>
  <c r="C37" i="1"/>
  <c r="D37" i="1"/>
  <c r="E37" i="1"/>
  <c r="F37" i="1"/>
  <c r="G37" i="1"/>
  <c r="H37" i="1"/>
  <c r="I37" i="1"/>
  <c r="A38" i="1"/>
  <c r="B38" i="1"/>
  <c r="C38" i="1"/>
  <c r="D38" i="1"/>
  <c r="E38" i="1"/>
  <c r="F38" i="1"/>
  <c r="G38" i="1"/>
  <c r="H38" i="1"/>
  <c r="I38" i="1"/>
  <c r="A39" i="1"/>
  <c r="B39" i="1"/>
  <c r="C39" i="1"/>
  <c r="D39" i="1"/>
  <c r="E39" i="1"/>
  <c r="F39" i="1"/>
  <c r="G39" i="1"/>
  <c r="H39" i="1"/>
  <c r="I39" i="1"/>
  <c r="A40" i="1"/>
  <c r="B40" i="1"/>
  <c r="C40" i="1"/>
  <c r="D40" i="1"/>
  <c r="E40" i="1"/>
  <c r="F40" i="1"/>
  <c r="G40" i="1"/>
  <c r="H40" i="1"/>
  <c r="I40" i="1"/>
  <c r="A13" i="1"/>
  <c r="B13" i="1"/>
  <c r="C13" i="1"/>
  <c r="D13" i="1"/>
  <c r="E13" i="1"/>
  <c r="F13" i="1"/>
  <c r="G13" i="1"/>
  <c r="H13" i="1"/>
  <c r="I13" i="1"/>
  <c r="A5" i="1"/>
  <c r="B5" i="1"/>
  <c r="C5" i="1"/>
  <c r="D5" i="1"/>
  <c r="E5" i="1"/>
  <c r="F5" i="1"/>
  <c r="G5" i="1"/>
  <c r="H5" i="1"/>
  <c r="I5" i="1"/>
  <c r="A6" i="1"/>
  <c r="B6" i="1"/>
  <c r="C6" i="1"/>
  <c r="D6" i="1"/>
  <c r="E6" i="1"/>
  <c r="F6" i="1"/>
  <c r="G6" i="1"/>
  <c r="H6" i="1"/>
  <c r="I6" i="1"/>
  <c r="A7" i="1"/>
  <c r="B7" i="1"/>
  <c r="C7" i="1"/>
  <c r="D7" i="1"/>
  <c r="E7" i="1"/>
  <c r="F7" i="1"/>
  <c r="G7" i="1"/>
  <c r="H7" i="1"/>
  <c r="I7" i="1"/>
  <c r="A8" i="1"/>
  <c r="B8" i="1"/>
  <c r="C8" i="1"/>
  <c r="D8" i="1"/>
  <c r="E8" i="1"/>
  <c r="F8" i="1"/>
  <c r="G8" i="1"/>
  <c r="H8" i="1"/>
  <c r="I8" i="1"/>
  <c r="A9" i="1"/>
  <c r="B9" i="1"/>
  <c r="C9" i="1"/>
  <c r="D9" i="1"/>
  <c r="E9" i="1"/>
  <c r="F9" i="1"/>
  <c r="G9" i="1"/>
  <c r="H9" i="1"/>
  <c r="I9" i="1"/>
  <c r="A10" i="1"/>
  <c r="B10" i="1"/>
  <c r="C10" i="1"/>
  <c r="D10" i="1"/>
  <c r="E10" i="1"/>
  <c r="F10" i="1"/>
  <c r="G10" i="1"/>
  <c r="H10" i="1"/>
  <c r="I10" i="1"/>
  <c r="A11" i="1"/>
  <c r="B11" i="1"/>
  <c r="C11" i="1"/>
  <c r="D11" i="1"/>
  <c r="E11" i="1"/>
  <c r="F11" i="1"/>
  <c r="G11" i="1"/>
  <c r="H11" i="1"/>
  <c r="I11" i="1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<sst xmlns="http://schemas.openxmlformats.org/spreadsheetml/2006/main" count="7106" uniqueCount="1441">
  <si>
    <t>บัญชีรายการชุดข้อมูลพื้นฐาน (Baseline Data Inventory)</t>
  </si>
  <si>
    <t>รหัส
Dataset ID</t>
  </si>
  <si>
    <t>ชื่อชุดข้อมูล (TH)
Dataset Name (Thai)</t>
  </si>
  <si>
    <t>ขอบข่าย / ข้อมูลย่อย / ประเภทข้อมูล
Domain / Sub-Domain / Data Entity</t>
  </si>
  <si>
    <t>ภัยที่เกี่ยวข้อง
Related Hazards</t>
  </si>
  <si>
    <t>ช่วงเวลา
Time Period</t>
  </si>
  <si>
    <t>ความละเอียดเชิงเวลา
Temporal Resolution</t>
  </si>
  <si>
    <t>ขอบเขต / ความละเอียดเชิงพื้นที่
Spatial Scope / Resolution</t>
  </si>
  <si>
    <t>รูปแบบไฟล์ / ระดับการเข้าถึง
Format / Access Level</t>
  </si>
  <si>
    <t>URL</t>
  </si>
  <si>
    <t>BMA — กรุงเทพมหานคร</t>
  </si>
  <si>
    <t>CDD — กรมการพัฒนาชุมชน</t>
  </si>
  <si>
    <t>DCCE — กรมการเปลี่ยนแปลงสภาพภูมิอากาศและสิ่งแวดล้อม</t>
  </si>
  <si>
    <t>DDPM — กรมป้องกันและบรรเทาสาธารณภัย</t>
  </si>
  <si>
    <t>DMCR — กรมทรัพยากรทางทะเลและชายฝั่ง</t>
  </si>
  <si>
    <t>DMR — กรมทรัพยากรธรณี</t>
  </si>
  <si>
    <t>DOH — กรมทางหลวง</t>
  </si>
  <si>
    <t>DOHealth — กรมอนามัย</t>
  </si>
  <si>
    <t>DOPA — กรมการปกครอง</t>
  </si>
  <si>
    <t>DOT — กรมการท่องเที่ยว</t>
  </si>
  <si>
    <t>DPT — กรมโยธาธิการและผังเมือง</t>
  </si>
  <si>
    <t>DWR — กรมทรัพยากรน้ำ</t>
  </si>
  <si>
    <t>EPPO — สำนักงานนโยบายและแผนพลังงาน</t>
  </si>
  <si>
    <t>FAD — กรมศิลปากร</t>
  </si>
  <si>
    <t>FTI — สภาอุตสาหกรรมแห่งประเทศไทย</t>
  </si>
  <si>
    <t>GISTDA — สำนักงานพัฒนาเทคโนโลยีอวกาศและภูมิสารสนเทศ (องค์การมหาชน)</t>
  </si>
  <si>
    <t>HII — สถาบันสารสนเทศทรัพยากรน้ำ (องค์การมหาชน)</t>
  </si>
  <si>
    <t>IEAT — การนิคมอุตสาหกรรมแห่งประเทศไทย</t>
  </si>
  <si>
    <t>LDD — กรมพัฒนาที่ดิน</t>
  </si>
  <si>
    <t>MD — กรมเจ้าท่า</t>
  </si>
  <si>
    <t>MHESI — กระทรวงการอุดมศึกษา วิทยาศาสตร์ วิจัยและนวัตกรรม</t>
  </si>
  <si>
    <t>MSDHS — กระทรวงการพัฒนาสังคมและความมั่นคงของมนุษย์</t>
  </si>
  <si>
    <t>MWA — การประปานครหลวง</t>
  </si>
  <si>
    <t>MoPH — กระทรวงสาธารณสุข</t>
  </si>
  <si>
    <t>NESDC — สำนักงานสภาพัฒนาการเศรษฐกิจและสังคมแห่งชาติ</t>
  </si>
  <si>
    <t>NSO — สำนักงานสถิติแห่งชาติ</t>
  </si>
  <si>
    <t>OBEC — สำนักงานคณะกรรมการการศึกษาขั้นพื้นฐาน</t>
  </si>
  <si>
    <t>ONEP — สำนักงานนโยบายและแผนทรัพยากรธรรมชาติและสิ่งแวดล้อม</t>
  </si>
  <si>
    <t>OTP — สำนักงานนโยบายและแผนการขนส่งและจราจร</t>
  </si>
  <si>
    <t>PWA — การประปาส่วนภูมิภาค</t>
  </si>
  <si>
    <t>SRT — การรถไฟแห่งประเทศไทย</t>
  </si>
  <si>
    <t>TMD — กรมอุตุนิยมวิทยา</t>
  </si>
  <si>
    <t>UDDC — ศูนย์ออกแบบและพัฒนาเมือง</t>
  </si>
  <si>
    <t>บัญชีรายการชุดข้อมูลพื้นฐาน</t>
  </si>
  <si>
    <t>Baseline Data Inventory</t>
  </si>
  <si>
    <t>1. วัตถุประสงค์ (Purpose)</t>
  </si>
  <si>
    <t>ไฟล์นี้ใช้รวบรวมและจัดทำบัญชีรายการชุดข้อมูลพื้นฐานที่มีอยู่และถูกใช้งาน ณ ปัจจุบัน
ตาม TOR ข้อ 5.3.5 จัดทำบัญชีรายการชุดข้อมูลพื้นฐาน (Baseline Data Inventory) โดยการรวบรวมและจัดทำ บัญชีรายการ "ชุดข้อมูลดิบ" ที่จำเป็นต่อการพัฒนาบริการสารสนเทศ ณ ปัจจุบัน โดยจัดหมวดหมู่ตามกรอบการประเมินความเสี่ยงที่เป็นมาตรฐานสากล และระบุรายละเอียดสำคัญของแต่ละรายการ ดังนี้
- ﻿﻿ตัวขับเคลื่อนภูมิอากาศ (Climatic Driver): ปัจจัยหลักที่มีอิทธิพลต่อสภาพอากาศและภัย
- ﻿﻿ภัย (Hazard): ข้อมูลภัยพิบัติต่างๆ (อุทกภัย, ภัยแล้ง, คลื่นความร้อน ฯลฯ)
- ﻿﻿การเปิดรับภัย (Exposure): ข้อมูลตำแหน่งและปริมาณของคน/ทรัพย์สินที่อาจได้รับผลกระทบ
- ความอ่อนไหวต่อภัย (Sensitivity): ข้อมูลคุณลักษณะของระบบ/ประชากรที่ได้รับผลกระทบได้ง่าย
- ความสามารถในการปรับตัว (Adaptive Capacity): ข้อมูลศักยภาพเชิงกายภาพ, เศรษฐกิจ,และสังคมในการรับมือ
- ผลกระทบ (Impact): ข้อมูลความเสียหายและความสูญเสียที่เกิดขึ้น
- การตอบสนอง (Response): ข้อมูลมาตรการที่ใช้เพื่อจัดการความเสี่ยง
- ความสูญเสียและความเสียหายจากการเปลี่ยนแปลงสภาพภูมิอากาศของประเทศไทย
โดยแต่ละชุดข้อมูลให้ระบุรายละเอียดสำคัญ เช่น แหล่งที่มา, ขอบเขต, ปี, ความละเอียด, ข้อจำกัด, และระบุว่าเป็นข้อมูลในอดีต (Historical) หรือข้อมูลคาดการณ์ในอนาคต (Projected)</t>
  </si>
  <si>
    <t>2. โครงสร้างไฟล์ (File Structure)</t>
  </si>
  <si>
    <t>Sheet</t>
  </si>
  <si>
    <t>คำอธิบาย (Description)</t>
  </si>
  <si>
    <t>Introduction</t>
  </si>
  <si>
    <t>คำอธิบายภาพรวม นิยามคอลัมน์ และรหัส</t>
  </si>
  <si>
    <t>Datasets_v1.0</t>
  </si>
  <si>
    <t>ชุดข้อมูลแต่ละรายการ โดย 1 แถว รวมหมวดความเสี่ยง ภัย และสาขา</t>
  </si>
  <si>
    <t>Ref_Lookups</t>
  </si>
  <si>
    <t>รายการ dropdown และคำศัพท์ทั้งหมด</t>
  </si>
  <si>
    <t>3. นิยามคอลัมน์ (Column Definitions)</t>
  </si>
  <si>
    <t>Column</t>
  </si>
  <si>
    <t>Source_ID</t>
  </si>
  <si>
    <t>รหัสอ้างอิงแหล่งที่มาของข้อมูล กำหนดจากตัวย่อหน่วยงานตามด้วยลำดับที่</t>
  </si>
  <si>
    <t>Source_Agency_TH</t>
  </si>
  <si>
    <t>ชื่อหน่วยงานเจ้าของข้อมูลเป็นภาษาไทยอย่างเป็นทางการ</t>
  </si>
  <si>
    <t>Source_Agency_Abrv</t>
  </si>
  <si>
    <t>ตัวย่อชื่อหน่วยงานเจ้าของข้อมูลตามที่ใช้อย่างเป็นทางการ</t>
  </si>
  <si>
    <t>Source_Name</t>
  </si>
  <si>
    <t>ชื่อระบบหรือฐานข้อมูลต้นทางที่เผยแพร่ชุดข้อมูล</t>
  </si>
  <si>
    <t>Source_Type</t>
  </si>
  <si>
    <t>ประเภทของแหล่งที่มา เช่น ฐานข้อมูลภาครัฐ ระบบสารสนเทศภูมิศาสตร์ หรือรายงาน</t>
  </si>
  <si>
    <t>Access_Level</t>
  </si>
  <si>
    <t>ระดับการเข้าถึงแหล่งข้อมูลโดยรวม โดย Open แปลว่า เข้าถึงได้เอง Restricted แปลว่า ต้องมีการขอข้อมูล</t>
  </si>
  <si>
    <t>URL (Source)</t>
  </si>
  <si>
    <t>ที่อยู่อินเทอร์เน็ตของแหล่งข้อมูลต้นทาง</t>
  </si>
  <si>
    <t>Remarks (Source)</t>
  </si>
  <si>
    <t>หมายเหตุเพิ่มเติมเกี่ยวกับแหล่งที่มา</t>
  </si>
  <si>
    <t>Dataset ID</t>
  </si>
  <si>
    <t>รหัสประจำชุดข้อมูล ใช้เพื่อการอ้างอิงภายในระบบ</t>
  </si>
  <si>
    <t>Dataset Name (Thai)</t>
  </si>
  <si>
    <t>ชื่อชุดข้อมูลเป็นภาษาไทย</t>
  </si>
  <si>
    <t>Domain</t>
  </si>
  <si>
    <t>ขอบข่ายของข้อมูลตามกรอบการดำเนินงานด้านการเปลี่ยนแปลงสภาพภูมิอากาศ</t>
  </si>
  <si>
    <t>Component</t>
  </si>
  <si>
    <t>องค์ประกอบย่อยภายใต้ขอบข่ายข้อมูล</t>
  </si>
  <si>
    <t>Category</t>
  </si>
  <si>
    <t>หมวดหมู่ของชุดข้อมูลตามการจำแนกประเภท</t>
  </si>
  <si>
    <t>Related Hazards</t>
  </si>
  <si>
    <t>ประเภทของภัยที่เกี่ยวข้องกับชุดข้อมูล</t>
  </si>
  <si>
    <t>Sectors</t>
  </si>
  <si>
    <t>สาขาหรือภาคส่วนที่เกี่ยวข้องกับชุดข้อมูล</t>
  </si>
  <si>
    <t>Temporal Dimension</t>
  </si>
  <si>
    <t>มิติด้านเวลาของข้อมูล เช่น ข้อมูลในอดีต ปัจจุบัน หรือคาดการณ์อนาคต</t>
  </si>
  <si>
    <t>Time Period</t>
  </si>
  <si>
    <t>ช่วงเวลาที่ข้อมูลครอบคลุม</t>
  </si>
  <si>
    <t>Unit</t>
  </si>
  <si>
    <t>หน่วยวัดของข้อมูล</t>
  </si>
  <si>
    <t>Temporal Resolution</t>
  </si>
  <si>
    <t>ความถี่หรือความละเอียดเชิงเวลาของข้อมูล เช่น รายวัน รายเดือน รายปี</t>
  </si>
  <si>
    <t>Spatial Scope</t>
  </si>
  <si>
    <t>ขอบเขตเชิงพื้นที่ที่ข้อมูลครอบคลุม เช่น ระดับประเทศ ภูมิภาค หรือจังหวัด</t>
  </si>
  <si>
    <t>Spatial Resolution</t>
  </si>
  <si>
    <t>ความละเอียดเชิงพื้นที่ของข้อมูล เช่น ระดับตำบล อำเภอ หรือกริดเซลล์</t>
  </si>
  <si>
    <t>Format</t>
  </si>
  <si>
    <t>รูปแบบไฟล์หรือโครงสร้างของข้อมูล เช่น Shapefile, CSV, GeoTIFF</t>
  </si>
  <si>
    <t>URL / Limitations</t>
  </si>
  <si>
    <t>ที่อยู่อินเทอร์เน็ตของชุดข้อมูล และข้อจำกัดหรือช่องว่างของข้อมูลที่ตรวจพบ</t>
  </si>
  <si>
    <t>Remarks</t>
  </si>
  <si>
    <t>หมายเหตุเพิ่มเติมเกี่ยวกับชุดข้อมูล</t>
  </si>
  <si>
    <t>4. โครงสร้างข้อมูล (Data Structure)</t>
  </si>
  <si>
    <t>Structure</t>
  </si>
  <si>
    <t>โครงสร้างถูกอ้างอิงตาม Conceptual Data Model (CDM) สำหรับการพัฒนา National Climate Adaptation
Information Framework (NCAIF)</t>
  </si>
  <si>
    <t xml:space="preserve">Data Structure
│
├─ [1. Forward-looking]
│  ├─ [Hazard]
│  │  ├─ HAZARDOUS_EVENT
│  │  ├─ HAZARD_MAP
│  │  ├─ SATELLITE_OBSERVATION
│  │  ├─ METEOROLOGICAL_OBSERVATION
│  │  ├─ TOPOGRAPHY
│  │  └─ ENVIRONMENT
│  │
│  ├─ [Exposure] 
│  │  └─ EXPOSED_ASSET
│  │
│  ├─ [Vulnerability]
│  │  └─ VULNERABILITY_FRAMEWORK
│  │     ├─ SENSITIVITY
│  │     └─ ADAPTIVE_CAPACITY
│  │
│  ├─ [CLIMATE_DRIVER]
│  │
│  ├─ [COMPOSITE_INDEX]
│  │
│  └─ [RISK_METRIC] 
│  
├─ [2. IMPACT (Backward-looking)]
│  ├─ DISASTER_RECORD
│  └─ LOSS_DAMAGE_RECORD
│
├─ [3. Adaptation Planning]
│  └─ RESPONSE
│
└─ [4. SPATIAL_UNIT]
</t>
  </si>
  <si>
    <t>รหัสแหล่งที่มา
Source_ID</t>
  </si>
  <si>
    <t>หน่วยงานแหล่งที่มา
Source_Agency_TH</t>
  </si>
  <si>
    <t>ตัวย่อหน่วยงานแหล่งที่มา
Source_Agency_Abrv</t>
  </si>
  <si>
    <t>ชื่อแหล่งที่มา
Source_Name</t>
  </si>
  <si>
    <t>ประเภทแหล่งที่มา
Source_Type</t>
  </si>
  <si>
    <t>ระดับการเข้าถึง
Access_Level</t>
  </si>
  <si>
    <t>หมายเหตุ
Remarks</t>
  </si>
  <si>
    <t>BMA_1</t>
  </si>
  <si>
    <t>กรุงเทพมหานคร</t>
  </si>
  <si>
    <t>BMA</t>
  </si>
  <si>
    <t>ข้อมูลจากการสัมภาษณ์</t>
  </si>
  <si>
    <t>Interview</t>
  </si>
  <si>
    <t>Restricted</t>
  </si>
  <si>
    <t>-</t>
  </si>
  <si>
    <t>CDD_1</t>
  </si>
  <si>
    <t>กรมการพัฒนาชุมชน</t>
  </si>
  <si>
    <t>CDD</t>
  </si>
  <si>
    <t>ข้อมูลจำนวนและการกระจายตัวของครัวเรือนกลุ่มเปราะบาง (ยากจน ผู้สูงอายุ ผู้พิการ ฯลฯ) | จากรายการขอข้อมูล WebGIS DCCE 19/01/2026 (1_Data_WebGIS_DCCE_20260119.xlsx → sheet: CDD, ลำดับที่ 1)</t>
  </si>
  <si>
    <t>DCCE_1</t>
  </si>
  <si>
    <t>กรมการเปลี่ยนแปลงสภาพภูมิอากาศและสิ่งแวดล้อม</t>
  </si>
  <si>
    <t>DCCE</t>
  </si>
  <si>
    <t>Report รายงานฉบับสมบูรณ์โครงการปรับปรุงระบบฐานข้อมูลความเสี่ยงเชิงพื้นที่จากการเปลี่ยนแปลงสภาพภูมิอากาศ</t>
  </si>
  <si>
    <t>Report</t>
  </si>
  <si>
    <t>DCCE_2</t>
  </si>
  <si>
    <t>Website Climate Data Visualization</t>
  </si>
  <si>
    <t>Website</t>
  </si>
  <si>
    <t>https://clim-webbased.dcce.go.th/DataServices</t>
  </si>
  <si>
    <t>DCCE_3</t>
  </si>
  <si>
    <t>Website ฐานข้อมูลความเสี่ยงจากการเปลี่ยนแปลงสภาพภูมิอากาศ</t>
  </si>
  <si>
    <t>Open</t>
  </si>
  <si>
    <t>https://ccic.dcce.go.th/riskarea</t>
  </si>
  <si>
    <t>DDPM_1</t>
  </si>
  <si>
    <t>กรมป้องกันและบรรเทาสาธารณภัย</t>
  </si>
  <si>
    <t>DDPM</t>
  </si>
  <si>
    <t>ข้อมูลแผนที่แสดงระดับความเสี่ยงอุทกภัยในพื้นที่ | จากรายการขอข้อมูล WebGIS DCCE 19/01/2026 (1_Data_WebGIS_DCCE_20260119.xlsx → sheet: DDPM, ลำดับที่ 1)</t>
  </si>
  <si>
    <t>DDPM_2</t>
  </si>
  <si>
    <t>DGA_1</t>
  </si>
  <si>
    <t>สำนักงานพัฒนารัฐบาลดิจิทัล (องค์การมหาชน)</t>
  </si>
  <si>
    <t>DGA</t>
  </si>
  <si>
    <t>DLA_1</t>
  </si>
  <si>
    <t>กรมส่งเสริมการปกครองท้องถิ่น</t>
  </si>
  <si>
    <t>DLA</t>
  </si>
  <si>
    <t>DMCR_5</t>
  </si>
  <si>
    <t>กรมทรัพยากรทางทะเลและชายฝั่ง</t>
  </si>
  <si>
    <t>DMCR</t>
  </si>
  <si>
    <t>Website THAILAND COASTAL SPATIAL DATABASE SYSTEM ระบบฐานข้อมูลเชิงพื้นที่การเปลี่ยนแปลงพื้นที่ชายฝั่งทะเลไทย</t>
  </si>
  <si>
    <t>https://tcs.dmcr.go.th/dmcr/v2/router?page=dashboard</t>
  </si>
  <si>
    <t>DMCR_6</t>
  </si>
  <si>
    <t>Website GEO-INFORMATICS DATA CENTER FOR MARINE AND COASTAL ศูนย์ข้อมูลภูมิสารสนเทศทางทะเลและชายฝั่ง</t>
  </si>
  <si>
    <t>https://marinemap.dmcr.go.th/</t>
  </si>
  <si>
    <t>DMCR_7</t>
  </si>
  <si>
    <t>Website Project to develop a system for assessing coral bleaching โครงการพัฒนาระบบประเมินการเกิดปะการังฟอกขาว</t>
  </si>
  <si>
    <t>https://thailandcoralbleaching.dmcr.go.th/th/home#coral-report-scroll</t>
  </si>
  <si>
    <t>DMR_1</t>
  </si>
  <si>
    <t>กรมทรัพยากรธรณี</t>
  </si>
  <si>
    <t>DMR</t>
  </si>
  <si>
    <t>ข้อมูลพื้นที่ที่ได้รับผลกระทบจริงจากเหตุแผ่นดินถล่ม น้ำป่าไหลหลาก และน้ำท่วมฉับพลัน | จากรายการขอข้อมูล WebGIS DCCE 19/01/2026 (1_Data_WebGIS_DCCE_20260119.xlsx → sheet: DMR, ลำดับที่ 1)</t>
  </si>
  <si>
    <t>DMR_2</t>
  </si>
  <si>
    <t>Website GD Catalog พื้นที่ได้รับผลกระทบจากแผ่นดินถล่มและน้ำป่าไหลหลาก</t>
  </si>
  <si>
    <t>https://gdcatalog.go.th/dataset/gdpublish-debris_flood</t>
  </si>
  <si>
    <t>DOH_1</t>
  </si>
  <si>
    <t>กรมทางหลวง</t>
  </si>
  <si>
    <t>DOH</t>
  </si>
  <si>
    <t>ข้อมูลแนวเส้นถนนหลวง ถนนสายหลัก และทางหลวงพิเศษ | จากรายการขอข้อมูล WebGIS DCCE 19/01/2026 (1_Data_WebGIS_DCCE_20260119.xlsx → sheet: DOH, ลำดับที่ 1)</t>
  </si>
  <si>
    <t>DOHealth_1</t>
  </si>
  <si>
    <t>กรมอนามัย</t>
  </si>
  <si>
    <t>DOHealth</t>
  </si>
  <si>
    <t>ข้อมูลตำแหน่งที่ตั้งของโรงพยาบาลและศูนย์สุขภาพประจำตำบล (รพ.สต.) | จากรายการขอข้อมูล WebGIS DCCE 19/01/2026 (1_Data_WebGIS_DCCE_20260119.xlsx → sheet: DOHealth, ลำดับที่ 1)</t>
  </si>
  <si>
    <t>DOPA_1</t>
  </si>
  <si>
    <t>กรมการปกครอง</t>
  </si>
  <si>
    <t>DOPA</t>
  </si>
  <si>
    <t>Website กรมการปกครอง</t>
  </si>
  <si>
    <t>https://www.dopa.go.th/</t>
  </si>
  <si>
    <t>DOT_1</t>
  </si>
  <si>
    <t>กรมการท่องเที่ยว</t>
  </si>
  <si>
    <t>DOT</t>
  </si>
  <si>
    <t>ข้อมูลตำแหน่งและขอบเขตของแหล่งท่องเที่ยวธรรมชาติ วัฒนธรรม ชุมชน นิเวศ และนันทนาการ | จากรายการขอข้อมูล WebGIS DCCE 19/01/2026 (1_Data_WebGIS_DCCE_20260119.xlsx → sheet: DOT, ลำดับที่ 1)</t>
  </si>
  <si>
    <t>DPT_1</t>
  </si>
  <si>
    <t>กรมโยธาธิการและผังเมือง</t>
  </si>
  <si>
    <t>DPT</t>
  </si>
  <si>
    <t>EPPO_1</t>
  </si>
  <si>
    <t>สำนักงานนโยบายและแผนพลังงาน</t>
  </si>
  <si>
    <t>EPPO</t>
  </si>
  <si>
    <t>https://www2.eppo.go.th/cdf/data_regional_central.html</t>
  </si>
  <si>
    <t>FAD_1</t>
  </si>
  <si>
    <t>กรมศิลปากร</t>
  </si>
  <si>
    <t>FAD</t>
  </si>
  <si>
    <t>ข้อมูลตำแหน่งและขอบเขตของแหล่งโบราณสถานในความรับผิดชอบของกรมศิลปากร | จากรายการขอข้อมูล WebGIS DCCE 19/01/2026 (1_Data_WebGIS_DCCE_20260119.xlsx → sheet: FAD, ลำดับที่ 1)</t>
  </si>
  <si>
    <t>FTI_1</t>
  </si>
  <si>
    <t>สภาอุตสาหกรรมแห่งประเทศไทย</t>
  </si>
  <si>
    <t>FTI</t>
  </si>
  <si>
    <t>GISTDA_1</t>
  </si>
  <si>
    <t>สำนักงานพัฒนาเทคโนโลยีอวกาศและภูมิสารสนเทศ (องค์การมหาชน)</t>
  </si>
  <si>
    <t>GISTDA</t>
  </si>
  <si>
    <t>Website Gistda Gateway</t>
  </si>
  <si>
    <t>https://api-gateway.gistda.or.th/</t>
  </si>
  <si>
    <t>GISTDA_2</t>
  </si>
  <si>
    <t>Website Marine GI Portal ระบบประเมินและติดตามระบบนิเวศทางทะเลและชายฝั่ง</t>
  </si>
  <si>
    <t>https://portal.marineportal.gistda.or.th/catalogue/#/</t>
  </si>
  <si>
    <t>GISTDA_3</t>
  </si>
  <si>
    <t>Website Disaster Platform ระบบสนับสนุนการตัดสินใจเพื่อบริหารจัดการภัยพิบัติ</t>
  </si>
  <si>
    <t>https://disaster.gistda.or.th/services/download</t>
  </si>
  <si>
    <t>GISTDA_4</t>
  </si>
  <si>
    <t>Website GISTDA DATA CUBE</t>
  </si>
  <si>
    <t>https://datacube.gistda.or.th/</t>
  </si>
  <si>
    <t>HII_1</t>
  </si>
  <si>
    <t>สถาบันสารสนเทศทรัพยากรน้ำ (องค์การมหาชน)</t>
  </si>
  <si>
    <t>HII</t>
  </si>
  <si>
    <t>ข้อมูลพื้นที่เสี่ยงภัยแล้งที่ได้จากการประเมินด้วยดัชนี Drought Risk Index (DRI) | จากรายการขอข้อมูล WebGIS DCCE 19/01/2026 (1_Data_WebGIS_DCCE_20260119.xlsx → sheet: HII, ลำดับที่ 1)</t>
  </si>
  <si>
    <t>IEAT_1</t>
  </si>
  <si>
    <t>การนิคมอุตสาหกรรมแห่งประเทศไทย</t>
  </si>
  <si>
    <t>IEAT</t>
  </si>
  <si>
    <t>ข้อมูลตำแหน่งที่ตั้งและขอบเขตของเขตนิคมอุตสาหกรรม | จากรายการขอข้อมูล WebGIS DCCE 19/01/2026 (1_Data_WebGIS_DCCE_20260119.xlsx → sheet: IEAT, ลำดับที่ 1)</t>
  </si>
  <si>
    <t>LDD_1</t>
  </si>
  <si>
    <t>กรมพัฒนาที่ดิน</t>
  </si>
  <si>
    <t>LDD</t>
  </si>
  <si>
    <t>ข้อมูลพื้นที่ที่เกิดภาวะแล้งซ้ำซากอย่างต่อเนื่อง | จากรายการขอข้อมูล WebGIS DCCE 19/01/2026 (1_Data_WebGIS_DCCE_20260119.xlsx → sheet: LDD, ลำดับที่ 1)</t>
  </si>
  <si>
    <t>LDD_4</t>
  </si>
  <si>
    <t>Website บัญชีรายการข้อมูลกรมพัฒนาที่ดิน พื้นที่เสี่ยงภัย</t>
  </si>
  <si>
    <t>http://sql.ldd.go.th/ldddata/mapsoilH3.html</t>
  </si>
  <si>
    <t>MD_1</t>
  </si>
  <si>
    <t>กรมเจ้าท่า</t>
  </si>
  <si>
    <t>MD</t>
  </si>
  <si>
    <t>ข้อมูลระดับน้ำทะเลบริเวณอ่าวไทย และฝั่งอันดามัน | จากรายการขอข้อมูล WebGIS DCCE 19/01/2026 (1_Data_WebGIS_DCCE_20260119.xlsx → sheet: MD, ลำดับที่ 1)</t>
  </si>
  <si>
    <t>MD_2</t>
  </si>
  <si>
    <t>Website กลุ่มอุทกวิทยา กรมเจ้าท่า</t>
  </si>
  <si>
    <t>http://hydro.md.go.th/</t>
  </si>
  <si>
    <t>MHESI_1</t>
  </si>
  <si>
    <t>กระทรวงการอุดมศึกษา วิทยาศาสตร์ วิจัยและนวัตกรรม</t>
  </si>
  <si>
    <t>MHESI</t>
  </si>
  <si>
    <t>ข้อมูลตำแหน่งที่ตั้งและขอบเขตของสถาบันอุดมศึกษา | จากรายการขอข้อมูล WebGIS DCCE 19/01/2026 (1_Data_WebGIS_DCCE_20260119.xlsx → sheet: MHESI, ลำดับที่ 1)</t>
  </si>
  <si>
    <t>MSDHS_1</t>
  </si>
  <si>
    <t>กระทรวงการพัฒนาสังคมและความมั่นคงของมนุษย์</t>
  </si>
  <si>
    <t>MSDHS</t>
  </si>
  <si>
    <t>MWA_1</t>
  </si>
  <si>
    <t>การประปานครหลวง</t>
  </si>
  <si>
    <t>MWA</t>
  </si>
  <si>
    <t>ข้อมูลตำแหน่งที่ตั้งและขอบเขตของโรงประปานครหลวง | จากรายการขอข้อมูล WebGIS DCCE 19/01/2026 (1_Data_WebGIS_DCCE_20260119.xlsx → sheet: MWA, ลำดับที่ 1)</t>
  </si>
  <si>
    <t>NESDC_1</t>
  </si>
  <si>
    <t>สำนักงานสภาพัฒนาการเศรษฐกิจและสังคมแห่งชาติ</t>
  </si>
  <si>
    <t>NESDC</t>
  </si>
  <si>
    <t>NSO_1</t>
  </si>
  <si>
    <t>สำนักงานสถิติแห่งชาติ</t>
  </si>
  <si>
    <t>NSO</t>
  </si>
  <si>
    <t>Website สำรวจข้อมูลพื้นฐานของครัวเรือน</t>
  </si>
  <si>
    <t>https://www.nso.go.th/nsoweb/nso/survey_detail/nj#gsc.tab=0</t>
  </si>
  <si>
    <t>NSO_2</t>
  </si>
  <si>
    <t>NXPO_1</t>
  </si>
  <si>
    <t>สำนักงานสภานโยบายการอุดมศึกษา วิทยาศาสตร์ วิจัยและนวัตกรรมแห่งชาติ</t>
  </si>
  <si>
    <t>NXPO</t>
  </si>
  <si>
    <t>OBEC_1</t>
  </si>
  <si>
    <t>สำนักงานคณะกรรมการการศึกษาขั้นพื้นฐาน</t>
  </si>
  <si>
    <t>OBEC</t>
  </si>
  <si>
    <t>ข้อมูลตำแหน่งที่ตั้งและขอบเขตของสถานศึกษาในสังกัด สพฐ. | จากรายการขอข้อมูล WebGIS DCCE 19/01/2026 (1_Data_WebGIS_DCCE_20260119.xlsx → sheet: OBEC, ลำดับที่ 1)</t>
  </si>
  <si>
    <t>OTP_1</t>
  </si>
  <si>
    <t>สำนักงานนโยบายและแผนการขนส่งและจราจร</t>
  </si>
  <si>
    <t>OTP</t>
  </si>
  <si>
    <t>PWA_1</t>
  </si>
  <si>
    <t>การประปาส่วนภูมิภาค</t>
  </si>
  <si>
    <t>PWA</t>
  </si>
  <si>
    <t>ข้อมูลตำแหน่งที่ตั้งและขอบเขตของโรงประปาส่วนภูมิภาค | จากรายการขอข้อมูล WebGIS DCCE 19/01/2026 (1_Data_WebGIS_DCCE_20260119.xlsx → sheet: PWA, ลำดับที่ 1)</t>
  </si>
  <si>
    <t>SRT_1</t>
  </si>
  <si>
    <t>การรถไฟแห่งประเทศไทย</t>
  </si>
  <si>
    <t>SRT</t>
  </si>
  <si>
    <t>Website การรถไฟแห่งประเทศไทย</t>
  </si>
  <si>
    <t>https://www.railway.co.th/Home/Index</t>
  </si>
  <si>
    <t>TBA_1</t>
  </si>
  <si>
    <t>สมาคมธนาคารไทย</t>
  </si>
  <si>
    <t>TBA</t>
  </si>
  <si>
    <t>TMD_1</t>
  </si>
  <si>
    <t>กรมอุตุนิยมวิทยา</t>
  </si>
  <si>
    <t>TMD</t>
  </si>
  <si>
    <t>Website ส่วนพยากรณ์อากาศเชิงตัวเลข กองพยากรณ์อากาศ</t>
  </si>
  <si>
    <t>https://hpc.tmd.go.th/imgda</t>
  </si>
  <si>
    <t>TMD_2</t>
  </si>
  <si>
    <t>Website Heat Index Analysis การวิเคราะห์ค่าดัชนีความร้อน</t>
  </si>
  <si>
    <t>http://www.rnd.tmd.go.th/heatindexanalysis/</t>
  </si>
  <si>
    <t>TMD_3</t>
  </si>
  <si>
    <t>Website เส้นทางพายุ</t>
  </si>
  <si>
    <t>https://www.tmd.go.th/storms</t>
  </si>
  <si>
    <t>TMD_4</t>
  </si>
  <si>
    <t>Website สถิติพายุหมุนเขตร้อน</t>
  </si>
  <si>
    <t>https://www.tmd.go.th/climate/climateStat/TropicalCyclone</t>
  </si>
  <si>
    <t>TMD_5</t>
  </si>
  <si>
    <t>Website Open Data of TMD การให้บริการข้อมูลเปิดอุตุนิยมวิทยา</t>
  </si>
  <si>
    <t>https://data.tmd.go.th/dataset/index.php</t>
  </si>
  <si>
    <t>TMD_6</t>
  </si>
  <si>
    <t>Report ข้อมูลจากรายงานฉบับสมบูรณ์โครงการปรับปรุงระบบฐานข้อมูลความเสี่ยงเชิงพื้นที่จากการเปลี่ยนแปลงสภาพภูมิอากาศ</t>
  </si>
  <si>
    <t>UDDC_1</t>
  </si>
  <si>
    <t>ศูนย์ออกแบบและพัฒนาเมือง</t>
  </si>
  <si>
    <t>UDDC</t>
  </si>
  <si>
    <t>DWR_1</t>
  </si>
  <si>
    <t>กรมทรัพยากรน้ำ</t>
  </si>
  <si>
    <t>DWR</t>
  </si>
  <si>
    <t>MoPH_1</t>
  </si>
  <si>
    <t>กระทรวงสาธารณสุข</t>
  </si>
  <si>
    <t>MoPH</t>
  </si>
  <si>
    <t>ONEP_1</t>
  </si>
  <si>
    <t>สำนักงานนโยบายและแผนทรัพยากรธรรมชาติและสิ่งแวดล้อม</t>
  </si>
  <si>
    <t>ONEP</t>
  </si>
  <si>
    <t>ตัวย่อหน่วยงาน
Agency_Abrv</t>
  </si>
  <si>
    <t>ชื่อหน่วยงาน
Agency_Name</t>
  </si>
  <si>
    <t>ลิงก์ไปยังชีต
Go to Sheet</t>
  </si>
  <si>
    <t>ขอบข่ายข้อมูล</t>
  </si>
  <si>
    <t>ขอบข่ายข้อมูลย่อย</t>
  </si>
  <si>
    <t>ชื่อประเภทข้อมูล</t>
  </si>
  <si>
    <t>คำอธิบาย</t>
  </si>
  <si>
    <t>ภัยที่เกี่ยวข้อง</t>
  </si>
  <si>
    <t>สาขา</t>
  </si>
  <si>
    <t>มิติด้านเวลา</t>
  </si>
  <si>
    <t>ความละเอียดเชิงเวลา</t>
  </si>
  <si>
    <t>ขอบเขตเชิงพื้นที่</t>
  </si>
  <si>
    <t>รูปแบบไฟล์</t>
  </si>
  <si>
    <t>ระดับการเข้าถึง</t>
  </si>
  <si>
    <t>Sub_Domain</t>
  </si>
  <si>
    <t>Data_Entity</t>
  </si>
  <si>
    <t>Description</t>
  </si>
  <si>
    <t>Forward-looking</t>
  </si>
  <si>
    <t>Hazard</t>
  </si>
  <si>
    <t>HAZARDOUS_EVENT</t>
  </si>
  <si>
    <t>บันทึกเหตุการณ์ภัยเชิงเวลา-พื้นที่ (track / footprint / intensity ของ event ที่เกิดขึ้น) ใช้สอบเทียบ hazard model</t>
  </si>
  <si>
    <t>Air Quality / Haze (คุณภาพอากาศ / หมอกควัน)</t>
  </si>
  <si>
    <t>Agriculture (เกษตร)</t>
  </si>
  <si>
    <t>Historical</t>
  </si>
  <si>
    <t>Real-time</t>
  </si>
  <si>
    <t>Global</t>
  </si>
  <si>
    <t>API / Web Service</t>
  </si>
  <si>
    <t>Open Access</t>
  </si>
  <si>
    <t>HAZARD_MAP</t>
  </si>
  <si>
    <t>แผนที่ภัย / ระดับความรุนแรง (probabilistic หรือ scenario-based zonation เช่น flood return period, landslide susceptibility)</t>
  </si>
  <si>
    <t>Coastal Erosion (กัดเซาะชายฝั่ง)</t>
  </si>
  <si>
    <t>Human Settlement (ตั้งถิ่นฐาน)</t>
  </si>
  <si>
    <t>Projected</t>
  </si>
  <si>
    <t>Sub-daily</t>
  </si>
  <si>
    <t>Regional</t>
  </si>
  <si>
    <t>CSV</t>
  </si>
  <si>
    <t>Restricted Access</t>
  </si>
  <si>
    <t>SATELLITE_OBSERVATION</t>
  </si>
  <si>
    <t>ข้อมูลสำรวจระยะไกล (flood extent, drought, NDVI, LST) สำหรับวิเคราะห์ภัย</t>
  </si>
  <si>
    <t>Cross-cutting (ทุกภัย)</t>
  </si>
  <si>
    <t>Natural Resources (ทรัพยากรธรรมชาติ)</t>
  </si>
  <si>
    <t>Forecast</t>
  </si>
  <si>
    <t>Daily</t>
  </si>
  <si>
    <t>National</t>
  </si>
  <si>
    <t>Database</t>
  </si>
  <si>
    <t>METEOROLOGICAL_OBSERVATION</t>
  </si>
  <si>
    <t>ข้อมูลตรวจวัดอุตุนิยมวิทยา (สถานี / เรดาร์ / reanalysis)</t>
  </si>
  <si>
    <t>Drought (ภัยแล้ง)</t>
  </si>
  <si>
    <t>Public Health (สาธารณสุข)</t>
  </si>
  <si>
    <t>Monthly</t>
  </si>
  <si>
    <t>Sub-national</t>
  </si>
  <si>
    <t>GeoTIFF / Raster</t>
  </si>
  <si>
    <t>TOPOGRAPHY</t>
  </si>
  <si>
    <t>ข้อมูลภูมิประเทศ-ธรณี (DEM, slope, soil, geology) ใช้ประกอบการประเมินภัย</t>
  </si>
  <si>
    <t>Flood (อุทกภัย)</t>
  </si>
  <si>
    <t>Tourism (ท่องเที่ยว)</t>
  </si>
  <si>
    <t>Seasonal</t>
  </si>
  <si>
    <t>Province</t>
  </si>
  <si>
    <t>NetCDF</t>
  </si>
  <si>
    <t>ENVIRONMENT</t>
  </si>
  <si>
    <t>ข้อมูลสิ่งแวดล้อมพื้นฐาน (land use / land cover, ecosystem, vegetation)</t>
  </si>
  <si>
    <t>Heat (คลื่นความร้อน)</t>
  </si>
  <si>
    <t>Water (น้ำ)</t>
  </si>
  <si>
    <t>Annual</t>
  </si>
  <si>
    <t>District</t>
  </si>
  <si>
    <t>Other</t>
  </si>
  <si>
    <t>Exposure</t>
  </si>
  <si>
    <t>EXPOSED_ASSET</t>
  </si>
  <si>
    <t>สินทรัพย์ / ประชากร / พื้นที่ที่อาจได้รับผลกระทบจากภัย</t>
  </si>
  <si>
    <t>Landslide (ดินถล่ม)</t>
  </si>
  <si>
    <t>Cross-cutting (หลายสาขา)</t>
  </si>
  <si>
    <t>Event-based</t>
  </si>
  <si>
    <t>Tambon</t>
  </si>
  <si>
    <t>PDF Report</t>
  </si>
  <si>
    <t>Vulnerability</t>
  </si>
  <si>
    <t>VULNERABILITY_FRAMEWORK</t>
  </si>
  <si>
    <t>กรอบประเมินความเปราะบาง (wrapper ของ Sensitivity + Adaptive Capacity)</t>
  </si>
  <si>
    <t>Sea-level Rise (ระดับน้ำทะเลสูงขึ้น)</t>
  </si>
  <si>
    <t>Biannual</t>
  </si>
  <si>
    <t>Mooban</t>
  </si>
  <si>
    <t>Shapefile</t>
  </si>
  <si>
    <t>SENSITIVITY</t>
  </si>
  <si>
    <t>คุณลักษณะที่ทำให้ระบบเปราะบาง (sensitivity factors)</t>
  </si>
  <si>
    <t>Storm (พายุ)</t>
  </si>
  <si>
    <t>Bi-weekly</t>
  </si>
  <si>
    <t>Basin</t>
  </si>
  <si>
    <t>Image</t>
  </si>
  <si>
    <t>ADAPTIVE_CAPACITY</t>
  </si>
  <si>
    <t>ศักยภาพในการรับมือ / ปรับตัวของระบบ</t>
  </si>
  <si>
    <t>Wildfire (ไฟป่า)</t>
  </si>
  <si>
    <t>Point</t>
  </si>
  <si>
    <t>GeoJSON</t>
  </si>
  <si>
    <t>Climate Driver</t>
  </si>
  <si>
    <t>CLIMATE_DRIVER</t>
  </si>
  <si>
    <t>ปัจจัยขับเคลื่อนภูมิอากาศ (T, P, wind, SLR) ทั้ง observed และ projection (RCP/SSP)</t>
  </si>
  <si>
    <t>Composite Index</t>
  </si>
  <si>
    <t>COMPOSITE_INDEX</t>
  </si>
  <si>
    <t>ดัชนีรวมจาก H × E × V (normative composite score สำหรับ screening / ranking)</t>
  </si>
  <si>
    <t>Risk Metric</t>
  </si>
  <si>
    <t>RISK_METRIC</t>
  </si>
  <si>
    <t>ตัวชี้วัดความเสี่ยงเชิงปริมาณ (probabilistic / monetized: AAL, PML, EAD)</t>
  </si>
  <si>
    <t>IMPACT (Backward-looking)</t>
  </si>
  <si>
    <t>Disaster Record</t>
  </si>
  <si>
    <t>DISASTER_RECORD</t>
  </si>
  <si>
    <t>บันทึกเหตุการณ์ภัยพิบัติในอดีต (DesInventar / Sigma) ใช้ calibrate hazard model และวิเคราะห์ impact</t>
  </si>
  <si>
    <t>Loss &amp; Damage</t>
  </si>
  <si>
    <t>LOSS_DAMAGE_RECORD</t>
  </si>
  <si>
    <t>บันทึกความสูญเสีย / เสียหายจริง (lives, assets, ecosystem services)</t>
  </si>
  <si>
    <t>Adaptation Planning</t>
  </si>
  <si>
    <t>Response</t>
  </si>
  <si>
    <t>RESPONSE</t>
  </si>
  <si>
    <t>มาตรการ / นโยบาย / โครงการ ที่ใช้จัดการความเสี่ยง (adaptation actions, M&amp;E)</t>
  </si>
  <si>
    <t>Spatial Unit</t>
  </si>
  <si>
    <t>SPATIAL_UNIT</t>
  </si>
  <si>
    <t>ขอบเขตการปกครอง / หน่วยวิเคราะห์เชิงพื้นที่ (province / district / tambon / mooban / basin)</t>
  </si>
  <si>
    <t>ขอบข่ายข้อมูล
Domain</t>
  </si>
  <si>
    <t>ขอบข่ายข้อมูลย่อย
Sub_Domain</t>
  </si>
  <si>
    <t>ชื่อประเภทข้อมูล
Data_Entity</t>
  </si>
  <si>
    <t>สาขา
Sectors</t>
  </si>
  <si>
    <t>มิติด้านเวลา
Temporal Dimension</t>
  </si>
  <si>
    <t>หน่วย
Unit</t>
  </si>
  <si>
    <t>ขอบเขตเชิงพื้นที่
Spatial Scope</t>
  </si>
  <si>
    <t>ความละเอียดเชิงพื้นที่
Spatial Resolution</t>
  </si>
  <si>
    <t>รูปแบบไฟล์
Format</t>
  </si>
  <si>
    <t>ข้อจำกัด
Limitations / Gaps</t>
  </si>
  <si>
    <t>DCCE_2_1</t>
  </si>
  <si>
    <t>ปริมาณน้ำฝน (GridData, historical)</t>
  </si>
  <si>
    <t xml:space="preserve">Drought (ภัยแล้ง) </t>
  </si>
  <si>
    <t>1981-2023</t>
  </si>
  <si>
    <t>mm</t>
  </si>
  <si>
    <t>Daily; Monthly</t>
  </si>
  <si>
    <t>25 km (Grid)</t>
  </si>
  <si>
    <t>Model/Source: GridData · Variable: pr · Scenario: historical</t>
  </si>
  <si>
    <t>DCCE_2_10</t>
  </si>
  <si>
    <t>ความชื้นสัมพัทธ์ (WRF-Chem)</t>
  </si>
  <si>
    <t>ภัยแล้ง (Drought); ไฟป่า (Wildfire)</t>
  </si>
  <si>
    <t>Historical; Projected</t>
  </si>
  <si>
    <t>1981-2014 (historical); 2015-2099 (ssp585)</t>
  </si>
  <si>
    <t>%</t>
  </si>
  <si>
    <t>มีเฉพาะ ssp585</t>
  </si>
  <si>
    <t>Model/Source: WRF-Chem · Variable: hurs</t>
  </si>
  <si>
    <t>DCCE_2_11</t>
  </si>
  <si>
    <t>ปริมาณน้ำฝน (RegCM5, EC-Earth3-Veg)</t>
  </si>
  <si>
    <t>น้ำท่วม (Flood); ภัยแล้ง (Drought)</t>
  </si>
  <si>
    <t>1960-2014 (historical); 2015-2099 (ssp245); 2015-2099 (ssp585)</t>
  </si>
  <si>
    <t>Model/Source: RegCM5(Driving Model: EC-Earth3-Veg) · Variable: pr</t>
  </si>
  <si>
    <t>DCCE_2_12</t>
  </si>
  <si>
    <t>อุณหภูมิสูงสุด (RegCM5, EC-Earth3-Veg)</t>
  </si>
  <si>
    <t>คลื่นความร้อน (Heat); ภัยแล้ง (Drought)</t>
  </si>
  <si>
    <t>°C</t>
  </si>
  <si>
    <t>Model/Source: RegCM5 (EC-Earth3-Veg) · Variable: tasmax</t>
  </si>
  <si>
    <t>DCCE_2_13</t>
  </si>
  <si>
    <t>อุณหภูมิต่ำสุด (RegCM5, EC-Earth3-Veg)</t>
  </si>
  <si>
    <t>คลื่นความเย็น (Cold spell); คลื่นความร้อน (Heat)</t>
  </si>
  <si>
    <t>Model/Source: RegCM5 (EC-Earth3-Veg) · Variable: tasmin</t>
  </si>
  <si>
    <t>DCCE_2_14</t>
  </si>
  <si>
    <t>อุณหภูมิเฉลี่ย (RegCM5, EC-Earth3-Veg)</t>
  </si>
  <si>
    <t>Multi-hazard</t>
  </si>
  <si>
    <t>Model/Source: RegCM5 (EC-Earth3-Veg) · Variable: tas</t>
  </si>
  <si>
    <t>DCCE_2_15</t>
  </si>
  <si>
    <t>ความชื้นสัมพัทธ์ (RegCM5, EC-Earth3-Veg)</t>
  </si>
  <si>
    <t>Model/Source: RegCM5 (EC-Earth3-Veg) · Variable: hurs</t>
  </si>
  <si>
    <t>DCCE_2_16</t>
  </si>
  <si>
    <t>ปริมาณน้ำฝน (Statistical Downscaling, CMIP6)</t>
  </si>
  <si>
    <t>1981-2014 (historical); 2015-2100 (ssp245); 2015-2100 (ssp585)</t>
  </si>
  <si>
    <t>5 km (Grid)</t>
  </si>
  <si>
    <t>Model/Source: Statistical Downscalingจาก CMIP6 GCMs (ACCESS-CM2; MIROC6; MPI-ESM1-2) · Variable: pr</t>
  </si>
  <si>
    <t>DCCE_2_17</t>
  </si>
  <si>
    <t>อุณหภูมิสูงสุด (Statistical Downscaling, CMIP6)</t>
  </si>
  <si>
    <t>Model/Source: Statistical Downscaling(ACCESS-CM2; MIROC6; MPI-ESM1-2) · Variable: tasmax</t>
  </si>
  <si>
    <t>DCCE_2_18</t>
  </si>
  <si>
    <t>อุณหภูมิต่ำสุด (Statistical Downscaling, CMIP6)</t>
  </si>
  <si>
    <t>Model/Source: Statistical Downscaling(ACCESS-CM2; MIROC6; MPI-ESM1-2) · Variable: tasmin</t>
  </si>
  <si>
    <t>DCCE_2_19</t>
  </si>
  <si>
    <t>อุณหภูมิเฉลี่ย (Statistical Downscaling, CMIP6)</t>
  </si>
  <si>
    <t>SD ไม่มีข้อมูล Relative Humidity (hurs)</t>
  </si>
  <si>
    <t>Model/Source: Statistical Downscaling(ACCESS-CM2; MIROC6; MPI-ESM1-2) · Variable: tas</t>
  </si>
  <si>
    <t>DCCE_2_2</t>
  </si>
  <si>
    <t>อุณหภูมิสูงสุด (GridData, historical)</t>
  </si>
  <si>
    <t>Model/Source: GridData · Variable: tasmax · Scenario: historical</t>
  </si>
  <si>
    <t>DCCE_2_3</t>
  </si>
  <si>
    <t>อุณหภูมิต่ำสุด (GridData, historical)</t>
  </si>
  <si>
    <t>Model/Source: GridData · Variable: tasmin · Scenario: historical</t>
  </si>
  <si>
    <t>DCCE_2_4</t>
  </si>
  <si>
    <t>อุณหภูมิเฉลี่ย (GridData, historical)</t>
  </si>
  <si>
    <t>Model/Source: GridData · Variable: tas · Scenario: historical</t>
  </si>
  <si>
    <t>DCCE_2_5</t>
  </si>
  <si>
    <t>ความชื้นสัมพัทธ์ (GridData, historical)</t>
  </si>
  <si>
    <t>Model/Source: GridData · Variable: hurs · Scenario: historical</t>
  </si>
  <si>
    <t>DCCE_2_6</t>
  </si>
  <si>
    <t>ปริมาณน้ำฝน (WRF-Chem, CMIP6 bias-corrected)</t>
  </si>
  <si>
    <t>Model/Source: WRF-Chem(driven by CMIP6 GCMs, Bias-Corrected) · Variable: pr</t>
  </si>
  <si>
    <t>DCCE_2_7</t>
  </si>
  <si>
    <t>อุณหภูมิสูงสุด (WRF-Chem)</t>
  </si>
  <si>
    <t>Model/Source: WRF-Chem · Variable: tasmax</t>
  </si>
  <si>
    <t>DCCE_2_8</t>
  </si>
  <si>
    <t>อุณหภูมิต่ำสุด (WRF-Chem)</t>
  </si>
  <si>
    <t>Model/Source: WRF-Chem · Variable: tasmin</t>
  </si>
  <si>
    <t>DCCE_2_9</t>
  </si>
  <si>
    <t>อุณหภูมิเฉลี่ย (WRF-Chem)</t>
  </si>
  <si>
    <t>Model/Source: WRF-Chem · Variable: tas</t>
  </si>
  <si>
    <t>DCCE_3_1</t>
  </si>
  <si>
    <t>ความเสี่ยงสาขาการเกษตรและความมั่นคงทางอาหาร</t>
  </si>
  <si>
    <t>1960-2014; 2015-2040; 2041-2060; 2061-2080; 2081-2100</t>
  </si>
  <si>
    <t>มีเฉพาะ ssp585 และ ssp245</t>
  </si>
  <si>
    <t>ดัชนีรวมจาก Hazard × Exposure × Vulnerability รายจังหวัด</t>
  </si>
  <si>
    <t>DCCE_3_2</t>
  </si>
  <si>
    <t>ความเสี่ยงสาขาการจัดการน้ำ</t>
  </si>
  <si>
    <t>1960-2014; 2015-2040; 2041-2060; 2061-2080; 2081-2101</t>
  </si>
  <si>
    <t>มีเฉพาะ ssp585 และ ssp246</t>
  </si>
  <si>
    <t>DCCE_3_3</t>
  </si>
  <si>
    <t>ความเสี่ยงสาขาการตั้งถิ่นฐานและความมั่นคงมนุษย์</t>
  </si>
  <si>
    <t>1960-2014; 2015-2040; 2041-2060; 2061-2080; 2081-2102</t>
  </si>
  <si>
    <t>Index (0-1)</t>
  </si>
  <si>
    <t>มีเฉพาะ ssp585 และ ssp247</t>
  </si>
  <si>
    <t>DCCE_3_4</t>
  </si>
  <si>
    <t>ความเสี่ยงสาขาการท่องเที่ยว</t>
  </si>
  <si>
    <t>1960-2014; 2015-2040; 2041-2060; 2061-2080; 2081-2103</t>
  </si>
  <si>
    <t>มีเฉพาะ ssp585 และ ssp248</t>
  </si>
  <si>
    <t>DCCE_3_5</t>
  </si>
  <si>
    <t>ความเสี่ยงสาขาทรัพยากรธรรมชาติและสิ่งแวดล้อม</t>
  </si>
  <si>
    <t>1960-2014; 2015-2040; 2041-2060; 2061-2080; 2081-2104</t>
  </si>
  <si>
    <t>มีเฉพาะ ssp585 และ ssp249</t>
  </si>
  <si>
    <t>DCCE_3_6</t>
  </si>
  <si>
    <t>ความเสี่ยงสาขาสาธารณสุข</t>
  </si>
  <si>
    <t>1960-2014; 2015-2040; 2041-2060; 2061-2080; 2081-2105</t>
  </si>
  <si>
    <t>มีเฉพาะ ssp585 และ ssp250</t>
  </si>
  <si>
    <t>DCCE_3_7</t>
  </si>
  <si>
    <t>ดัชนีภูมิอากาศ</t>
  </si>
  <si>
    <t>1960-2014; 2015-2040; 2041-2060; 2061-2080; 2081-2106</t>
  </si>
  <si>
    <t>Index</t>
  </si>
  <si>
    <t>มีเฉพาะ ssp585 และ ssp251</t>
  </si>
  <si>
    <t>ดัชนีรวมปัจจัยภูมิอากาศ (T, P) สำหรับ screening รายพื้นที่</t>
  </si>
  <si>
    <t>ประเภทข้อมูล
Data Type</t>
  </si>
  <si>
    <t>GISTDA_1_1</t>
  </si>
  <si>
    <t>ข้อมูลขอบเขตพื้นที่เผาไหม้ (ล่าสุด) ในช่วง 365 วัน v1.2</t>
  </si>
  <si>
    <t>2025-2026</t>
  </si>
  <si>
    <t>ตร.กม.</t>
  </si>
  <si>
    <t>https://api-gateway.gistda.or.th/gi-service/v1.2/disasters/burnt-area-latest-365</t>
  </si>
  <si>
    <t>API endpoint: /gi-service/v1.2/disasters/burnt-area-latest-365 | tags: gi-services, disasters, burnt area, opendata, Fire | อัปเดตล่าสุด: 30 เม.ย. 2569</t>
  </si>
  <si>
    <t>GISTDA_1_10</t>
  </si>
  <si>
    <t>ข้อมูลพื้นที่ปลูกข้าวรายสองสัปดาห์ (40 เมตร) v2.2</t>
  </si>
  <si>
    <t>40 m (Grid)</t>
  </si>
  <si>
    <t>https://api-gateway.gistda.or.th/gi-service/v2.2/agriculture/rice-weekly-40m</t>
  </si>
  <si>
    <t>API endpoint: /gi-service/v2.2/agriculture/rice-weekly-40m | tags: gi-services, opendata, agriculture, rice, weekly, 40m | ข้าว รายสองสัปดาห์ | อัปเดตลล่าสุด: 11 พ.ย. 2568</t>
  </si>
  <si>
    <t>GISTDA_1_2</t>
  </si>
  <si>
    <t>ข้อมูลขอบเขตพื้นที่เผาไหม้ (ล่าสุด) v1.2</t>
  </si>
  <si>
    <t>https://api-gateway.gistda.or.th/gi-service/v1.2/disasters/burnt-area-latest</t>
  </si>
  <si>
    <t>API endpoint: /gi-service/v1.2/disasters/burnt-area-latest | tags: gi-services, disasters, burnt area, opendata, Fire | อัปเดตล่าสุด: 24 ต.ค. 2568</t>
  </si>
  <si>
    <t>GISTDA_1_3</t>
  </si>
  <si>
    <t>ข้อมูลพื้นที่เหมาะสมในการเพาะปลูกพืชเศรษฐกิจ 6 ชนิดตามบริเวณที่ค้นหา v1.1</t>
  </si>
  <si>
    <t>https://api-gateway.gistda.or.th/gi-service/v1.1/agriculture/crop-suitability</t>
  </si>
  <si>
    <t>API endpoint: /gi-service/v1.1/agriculture/crop-suitability | tags: gi-services, opendata, agriculture, crop, suitability | พืชเศรษฐกิจ 6 ชนิด | อัปเดตล่าสุด: 11 พ.ย. 2568</t>
  </si>
  <si>
    <t>GISTDA_1_4</t>
  </si>
  <si>
    <t>ข้อมูลพื้นที่ปลูกพืชเศรษฐกิจ 6 ชนิดตามบริเวณที่ค้นหา v2.2</t>
  </si>
  <si>
    <t>https://api-gateway.gistda.or.th/gi-service/v2.2/agriculture/check-crop</t>
  </si>
  <si>
    <t>API endpoint: /gi-service/v2.2/agriculture/check-crop | tags: gi-services, opendata, agriculture, crop, 40m | ตรวจสอบพืชเศรษฐกิจ 6 ชนิด | อัปเดตล่าสุด: 11 พ.ย. 2568</t>
  </si>
  <si>
    <t>GISTDA_1_5</t>
  </si>
  <si>
    <t>ข้อมูลพื้นที่ปลูกปาล์มน้ำมันรายปี (40 เมตร) v2.2</t>
  </si>
  <si>
    <t>https://api-gateway.gistda.or.th/gi-service/v2.2/agriculture/palm-yearly-40m</t>
  </si>
  <si>
    <t>API endpoint: /gi-service/v2.2/agriculture/palm-yearly-40m | tags: gi-services, opendata, agriculture, palm, 40m | รายปี | อัปเดตล่าสุด: 11 พ.ย. 2568</t>
  </si>
  <si>
    <t>GISTDA_1_6</t>
  </si>
  <si>
    <t>ข้อมูลพื้นที่ปลูกยางพารารายปี (40 เมตร) v2.2</t>
  </si>
  <si>
    <t>https://api-gateway.gistda.or.th/gi-service/v2.2/agriculture/rubber-yearly-40m</t>
  </si>
  <si>
    <t>API endpoint: /gi-service/v2.2/agriculture/rubber-yearly-40m | tags: gi-services, opendata, agriculture, rubber, 40m | ยางพารา รายปี | อัปเดตล่าสุด: 11 พ.ย. 2568</t>
  </si>
  <si>
    <t>GISTDA_1_7</t>
  </si>
  <si>
    <t>ข้อมูลพื้นที่ปลูกอ้อยรายสองสัปดาห์ (40 เมตร) v2.2</t>
  </si>
  <si>
    <t>https://api-gateway.gistda.or.th/gi-service/v2.2/agriculture/sugarcane-weekly-40m</t>
  </si>
  <si>
    <t>API endpoint: /gi-service/v2.2/agriculture/sugarcane-weekly-40m | tags: gi-services, opendata, agriculture, sugarcane, weekly, 40m | อ้อย รายสองสัปดาห์ | อัปเดตล่าสุด: 11 พ.ย. 2568</t>
  </si>
  <si>
    <t>GISTDA_1_8</t>
  </si>
  <si>
    <t>ข้อมูลพื้นที่ปลูกมันสำปะหลังรายสองสัปดาห์ (40 เมตร) v2.2</t>
  </si>
  <si>
    <t>https://api-gateway.gistda.or.th/gi-service/v2.2/agriculture/cassava-weekly-40m</t>
  </si>
  <si>
    <t>API endpoint: /gi-service/v2.2/agriculture/cassava-weekly-40m | tags: gi-services, opendata, agriculture, cassava, weekly, 40m | มันสำปะหลัง รายสองสัปดาห์ | อัปเดตล่าสุด: 11 พ.ย. 2568</t>
  </si>
  <si>
    <t>GISTDA_1_9</t>
  </si>
  <si>
    <t>ข้อมูลพื้นที่ปลูกข้าวโพดรายสองสัปดาห์ (40 เมตร) v2.2</t>
  </si>
  <si>
    <t>https://api-gateway.gistda.or.th/gi-service/v2.2/agriculture/maize-weekly-40m</t>
  </si>
  <si>
    <t>API endpoint: /gi-service/v2.2/agriculture/maize-weekly-40m | tags: gi-services, opendata, agriculture, maize, weekly, 40m | ข้าวโพด รายสองสัปดาห์ | อัปเดตล่าสุด: 11 พ.ย. 2568</t>
  </si>
  <si>
    <t>GISTDA_2_1</t>
  </si>
  <si>
    <t>อุณหภูมิผิวหน้าน้ำทะเล (SST)</t>
  </si>
  <si>
    <t>Up to 2026</t>
  </si>
  <si>
    <t>0.85 km (Grid)</t>
  </si>
  <si>
    <t>วิเคราะห์ประมวลผลจากภาพถ่ายดาวเทียม Suomi-NPP/NOAA-20 ระบบ VIIRS</t>
  </si>
  <si>
    <t>GISTDA_2_2</t>
  </si>
  <si>
    <t>แสงไฟในเวลากลางคืน (Nighttime Light)</t>
  </si>
  <si>
    <t>2016-2025</t>
  </si>
  <si>
    <t>nW/cm²/sr</t>
  </si>
  <si>
    <t>ข้อมูลความเข้มแสงไฟกลางคืนจากภาพถ่ายดาวเทียม ใช้เป็น proxy ของกิจกรรมเศรษฐกิจ | จากรายการขอข้อมูล WebGIS DCCE 19/01/2026 (1_Data_WebGIS_DCCE_20260119.xlsx → sheet: GISTDA, ลำดับที่ 4)</t>
  </si>
  <si>
    <t>GISTDA_3_1</t>
  </si>
  <si>
    <t>ขอบเขตน้ำท่วมจากภาพถ่ายดาวเทียม</t>
  </si>
  <si>
    <t>2022-2025</t>
  </si>
  <si>
    <t>Sub-district</t>
  </si>
  <si>
    <t>การเข้าถึงมีหลายขั้นตอน</t>
  </si>
  <si>
    <t>ข้อมูลขอบเขตพื้นที่ที่เกิดน้ำท่วมจากเหตุการณ์จริงหรือจากการประกาศอย่างเป็นทางการ</t>
  </si>
  <si>
    <t>GISTDA_3_2</t>
  </si>
  <si>
    <t>ข้อมูลจุดความร้อน</t>
  </si>
  <si>
    <t>2022-2026</t>
  </si>
  <si>
    <t>จุด</t>
  </si>
  <si>
    <t>GISTDA_3_3</t>
  </si>
  <si>
    <t>ความชื้นในดิน (Soil Moisture Active Passive : SMAP)</t>
  </si>
  <si>
    <t>2023-2026</t>
  </si>
  <si>
    <t>Weekly</t>
  </si>
  <si>
    <t>Image; CSV</t>
  </si>
  <si>
    <t>GISTDA_4_1</t>
  </si>
  <si>
    <t>ภาพถ่ายดาวเทียม</t>
  </si>
  <si>
    <t>2017-2025</t>
  </si>
  <si>
    <t>2 m (Grid)</t>
  </si>
  <si>
    <t>GISTDA_5_1</t>
  </si>
  <si>
    <t>พื้นที่น้ำท่วมซ้ำซาก</t>
  </si>
  <si>
    <t>Agriculture — เกษตร; Human Settlement — ตั้งถิ่นฐาน; Tourism — ท่องเที่ยว; Water — น้ำ</t>
  </si>
  <si>
    <t>TMD_1_1</t>
  </si>
  <si>
    <t>ปริมาณฝนสะสม 1 ชั่วโมง (P1H)</t>
  </si>
  <si>
    <t>น้ำท่วม (Flood)</t>
  </si>
  <si>
    <t>3 days</t>
  </si>
  <si>
    <t>Hourly</t>
  </si>
  <si>
    <t>3 km (Grid)</t>
  </si>
  <si>
    <t>PNG / Image</t>
  </si>
  <si>
    <t>เผยแพร่เป็นภาพเท่านั้น</t>
  </si>
  <si>
    <t>WRF model output, Domain 2</t>
  </si>
  <si>
    <t>TMD_1_2</t>
  </si>
  <si>
    <t>ปริมาณฝนสะสม 24 ชั่วโมง (P24H)</t>
  </si>
  <si>
    <t>Flood (น้ำท่วม); Landslide (ดินถล่ม)</t>
  </si>
  <si>
    <t>TMD_1_3</t>
  </si>
  <si>
    <t>ความกดอากาศระดับน้ำทะเลปานกลาง (PRMSL)</t>
  </si>
  <si>
    <t>hPa</t>
  </si>
  <si>
    <t>TMD_1_4</t>
  </si>
  <si>
    <t>ความชื้นสัมพัทธ์ (RHUM)</t>
  </si>
  <si>
    <t>Drought (ภัยแล้ง); Wildfire (ไฟป่า)</t>
  </si>
  <si>
    <t>TMD_1_5</t>
  </si>
  <si>
    <t>อุณหภูมิผิวพื้น ที่ระดับ 2 เมตร (T2M)</t>
  </si>
  <si>
    <t>Heat (คลื่นความร้อน); Drought (ภัยแล้ง)</t>
  </si>
  <si>
    <t>WRF model output, Domain 2; T at 2m AGL</t>
  </si>
  <si>
    <t>TMD_1_6</t>
  </si>
  <si>
    <t>ลมระดับ 10 เมตร (W10M)</t>
  </si>
  <si>
    <t>m/s</t>
  </si>
  <si>
    <t>WRF model output, Domain 2; wind at 10m AGL</t>
  </si>
  <si>
    <t>TMD_5_1</t>
  </si>
  <si>
    <t>ดัชนีความร้อน (Heat index) — WebGIS DCCE</t>
  </si>
  <si>
    <t>Unknown</t>
  </si>
  <si>
    <t>Shapefile / Vector; CSV; API / Web Service</t>
  </si>
  <si>
    <t>อยู่ระหว่างขอข้อมูล - ยังไม่ได้รับ</t>
  </si>
  <si>
    <t>ข้อมูลดัชนีความร้อนที่คำนวณจากอุณหภูมิและความชื้นสัมพัทธ์ เพื่อสะท้อนระดับความร้อนที่กระทบต่อสุขภาพ | จากรายการขอข้อมูล WebGIS DCCE 19/01/2026 (1_Data_WebGIS_DCCE_20260119.xlsx → sheet: TMD, ลำดับที่ 1)</t>
  </si>
  <si>
    <t>TMD_4_1</t>
  </si>
  <si>
    <t>เส้นทางพายุ — WebGIS DCCE (พายุหมุนเขตร้อน)</t>
  </si>
  <si>
    <t>DRR (การจัดการภัยพิบัติ)</t>
  </si>
  <si>
    <t>ข้อมูลเส้นทางพายุหมุนเขตร้อนที่เคลื่อนผ่านประเทศไทย | จากรายการขอข้อมูล WebGIS DCCE 19/01/2026 (1_Data_WebGIS_DCCE_20260119.xlsx → sheet: TMD, ลำดับที่ 2)</t>
  </si>
  <si>
    <t>TMD_2_1</t>
  </si>
  <si>
    <t>ดัชนีความร้อน (Heat index) — คำนวณ</t>
  </si>
  <si>
    <t>2014-2019</t>
  </si>
  <si>
    <t>Heat index</t>
  </si>
  <si>
    <t>TMD_3_1</t>
  </si>
  <si>
    <t>เส้นทางพายุ — ข้อมูลเหตุการณ์ภัย</t>
  </si>
  <si>
    <t>ทั้งประเทศ</t>
  </si>
  <si>
    <t>GIS (Shapefile / GeoJSON)</t>
  </si>
  <si>
    <t>ข้อมูลเหตุการณ์ภัย</t>
  </si>
  <si>
    <t>TMD_6_1</t>
  </si>
  <si>
    <t>TXx - อุณหภูมิสูงสุดของอุณหภูมิสูงสุดรายวัน (Max Tmax)</t>
  </si>
  <si>
    <t>เป็นข้อมูลภายในจากโครงการของ DCCE</t>
  </si>
  <si>
    <t>ดัชนีอุณหภูมิสุดขั้ว (Intensity): Warmest daily maximum temperature - ใช้ในการประมาณ Heat Intensity Index</t>
  </si>
  <si>
    <t>TMD_6_2</t>
  </si>
  <si>
    <t>TNx - อุณหภูมิสูงสุดของอุณหภูมิต่ำสุดรายวัน (Max Tmin)</t>
  </si>
  <si>
    <t>ดัชนีอุณหภูมิสุดขั้ว (Intensity): Warmest daily minimum temperature - ใช้ในการประมาณ Heat Intensity Index</t>
  </si>
  <si>
    <t>TMD_6_3</t>
  </si>
  <si>
    <t>GSL - ความยาวของฤดูกาลเพาะปลูก (Growing Season Length)</t>
  </si>
  <si>
    <t>days</t>
  </si>
  <si>
    <t>ดัชนีอุณหภูมิสุดขั้ว (Duration): จำนวนวันต่อปีระหว่างวันแรกที่มี Tmean &gt; 5°C ติดกัน 6 วัน ถึงวันแรกที่มี Tmean &lt; 5°C ติดกัน 6 วัน - ใช้ในการประมาณ Heat Duration Index</t>
  </si>
  <si>
    <t>TMD_6_4</t>
  </si>
  <si>
    <t>WSDI - ดัชนีระยะเวลาคลื่นความร้อน (Warm Spell Duration Indicator)</t>
  </si>
  <si>
    <t>ดัชนีอุณหภูมิสุดขั้ว (Duration): จำนวนวันต่อปีที่มี Tmax &gt; เปอร์เซ็นไทล์ที่ 90 ติดต่อกันอย่างน้อย 6 วัน - ใช้ในการประมาณ Heat Duration Index</t>
  </si>
  <si>
    <t>TMD_6_5</t>
  </si>
  <si>
    <t>TX90p - วันที่อุณหภูมิอากาศสูงผิดปกติ (Warm Days)</t>
  </si>
  <si>
    <t>% of days</t>
  </si>
  <si>
    <t>ดัชนีอุณหภูมิสุดขั้ว (Frequency): สัดส่วนของวันที่มี Tmax &gt; เปอร์เซ็นไทล์ที่ 90 - ใช้ในการประมาณ Heat Frequency Index</t>
  </si>
  <si>
    <t>TMD_6_6</t>
  </si>
  <si>
    <t>TN90p - คืนที่อุณหภูมิอากาศสูงผิดปกติ (Warm Nights)</t>
  </si>
  <si>
    <t>ดัชนีอุณหภูมิสุดขั้ว (Frequency): สัดส่วนของวันที่มี Tmin &gt; เปอร์เซ็นไทล์ที่ 90 - ใช้ในการประมาณ Heat Frequency Index</t>
  </si>
  <si>
    <t>TMD_6_7</t>
  </si>
  <si>
    <t>SU35 - วันที่ร้อน (Summer Days, Tmax &gt; 35°C)</t>
  </si>
  <si>
    <t>ดัชนีอุณหภูมิสุดขั้ว (Frequency): จำนวนวันต่อปีที่มี Tmax &gt; 35°C - ใช้ในการประมาณ Heat Frequency Index</t>
  </si>
  <si>
    <t>TMD_6_8</t>
  </si>
  <si>
    <t>TR20 - คืนเขตร้อน (Tropical Nights, Tmin &gt; 20°C)</t>
  </si>
  <si>
    <t>ดัชนีอุณหภูมิสุดขั้ว (Frequency): จำนวนวันต่อปีที่มี Tmin &gt; 20°C - ใช้ในการประมาณ Heat Frequency Index</t>
  </si>
  <si>
    <t>TMD_6_9</t>
  </si>
  <si>
    <t>Rx1day - ปริมาณฝนสูงสุดใน 1 วัน (Max 1-day Precipitation)</t>
  </si>
  <si>
    <t>ดัชนีฝนสุดขั้ว (Intensity): ปริมาณฝนรวมสูงสุดใน 1 วัน - ใช้ในการประมาณ Flood Intensity Index</t>
  </si>
  <si>
    <t>TMD_6_10</t>
  </si>
  <si>
    <t>Rx5day - ปริมาณฝนสูงสุดใน 5 วัน (Max 5-day Precipitation)</t>
  </si>
  <si>
    <t>ดัชนีฝนสุดขั้ว (Intensity): ปริมาณฝนรวมสูงสุดใน 5 วัน - ใช้ในการประมาณ Flood Intensity Index</t>
  </si>
  <si>
    <t>TMD_6_11</t>
  </si>
  <si>
    <t>SDII - ดัชนีความเข้มของฝนรายวัน (Simple Daily Intensity Index)</t>
  </si>
  <si>
    <t>mm/day</t>
  </si>
  <si>
    <t>ดัชนีฝนสุดขั้ว (Intensity): ปริมาณฝนรวมรายปี หารด้วยจำนวนวันฝนตก (ฝน ≥ 1 mm) - ใช้ในการประมาณ Flood Intensity Index</t>
  </si>
  <si>
    <t>TMD_6_12</t>
  </si>
  <si>
    <t>R95p - ปริมาณฝนจากวันฝนหนักมาก (Annual contribution from very wet days)</t>
  </si>
  <si>
    <t>ดัชนีฝนสุดขั้ว (Intensity): ผลรวมฝนรายวันที่ &gt; เปอร์เซ็นไทล์ที่ 95 - ใช้ในการประมาณ Flood Intensity Index</t>
  </si>
  <si>
    <t>TMD_6_13</t>
  </si>
  <si>
    <t>R99p - ปริมาณฝนจากวันฝนหนักมากที่สุด (Annual contribution from extremely wet days)</t>
  </si>
  <si>
    <t>ดัชนีฝนสุดขั้ว (Intensity): ผลรวมฝนรายวันที่ &gt; เปอร์เซ็นไทล์ที่ 99 - ใช้ในการประมาณ Flood Intensity Index</t>
  </si>
  <si>
    <t>TMD_6_14</t>
  </si>
  <si>
    <t>PRCPTOT - ปริมาณฝนรวมจากวันฝนตก (Annual contribution from wet days)</t>
  </si>
  <si>
    <t>ดัชนีฝนสุดขั้ว (Intensity): ปริมาณฝนรวมจากวันที่ฝน ≥ 1 mm - ใช้ในการประมาณ Flood Intensity Index</t>
  </si>
  <si>
    <t>TMD_6_15</t>
  </si>
  <si>
    <t>CWD - จำนวนวันฝนตกติดต่อกันสูงสุด (Consecutive Wet Days)</t>
  </si>
  <si>
    <t>ดัชนีฝนสุดขั้ว (Duration): จำนวนวันฝนตกติดต่อกันสูงสุดต่อปี (ฝน ≥ 1 mm) - ใช้ในการประมาณ Flood Duration Index</t>
  </si>
  <si>
    <t>TMD_6_16</t>
  </si>
  <si>
    <t>CDD - จำนวนวันแห้งติดต่อกันสูงสุด (Consecutive Dry Days)</t>
  </si>
  <si>
    <t>ดัชนีฝนสุดขั้ว (Duration): จำนวนวันแห้งติดต่อกันสูงสุดต่อปี (ฝน &lt; 1 mm) - ใช้ในการประมาณ Drought Duration Index</t>
  </si>
  <si>
    <t>TMD_6_17</t>
  </si>
  <si>
    <t>R10mm - วันที่มีฝนตกหนัก (Heavy Precipitation Days, ≥ 10 mm)</t>
  </si>
  <si>
    <t>ดัชนีฝนสุดขั้ว (Frequency): จำนวนวันต่อปีที่ฝน ≥ 10 mm - ใช้ในการประมาณ Flood Frequency Index</t>
  </si>
  <si>
    <t>TMD_6_18</t>
  </si>
  <si>
    <t>R20mm - วันที่มีฝนตกหนักมาก (Very Heavy Precipitation Days, ≥ 20 mm)</t>
  </si>
  <si>
    <t>ดัชนีฝนสุดขั้ว (Frequency): จำนวนวันต่อปีที่ฝน ≥ 20 mm - ใช้ในการประมาณ Flood Frequency Index</t>
  </si>
  <si>
    <t>TMD_6_19</t>
  </si>
  <si>
    <t>SPI-1 - ดัชนีฝนมาตรฐาน 1 เดือน (Standardized Precipitation Index-1)</t>
  </si>
  <si>
    <t>Flood (อุทกภัย); Drought (ภัยแล้ง)</t>
  </si>
  <si>
    <t>ดัชนีฝนมาตรฐาน (SPI): สะสม 1 เดือน - SPI-1 &gt; 1.5 ใช้ใน Flood Intensity Index; |SPI-1 &lt; -1.5| ใช้ใน Drought Intensity Index</t>
  </si>
  <si>
    <t>TMD_6_20</t>
  </si>
  <si>
    <t>CSPI-1 - จำนวนเดือนติดต่อกันของ SPI-1 สุดขั้ว (Consecutive SPI-1)</t>
  </si>
  <si>
    <t>months</t>
  </si>
  <si>
    <t>ดัชนีฝนมาตรฐาน (SPI): จำนวนเดือนติดต่อกันสูงสุดต่อปีที่ SPI-1 ≥ 1.5 หรือ ≤ -1.5 - ใช้ใน Flood/Drought Duration Index</t>
  </si>
  <si>
    <t>TMD_6_21</t>
  </si>
  <si>
    <t>FSPI-1 - ความถี่ของ SPI-1 (Frequency SPI-1)</t>
  </si>
  <si>
    <t>Cross-cutting (หลาาขา)</t>
  </si>
  <si>
    <t>ดัชนีฝนมาตรฐาน (SPI): จำนวนเดือนในรอบปีที่ SPI-1 ≥ 1.5 หรือ ≤ -1.5 - ใช้ใน Flood/Drought Frequency Index</t>
  </si>
  <si>
    <t>TMD_6_22</t>
  </si>
  <si>
    <t>HI_Heat - ดัชนีภัยอันตรายจากความร้อน (Heat Hazard Index)</t>
  </si>
  <si>
    <t>ดัชนีรวม (Composite): HI_Heat = (Heat Intensity Index + Heat Duration Index + Heat Frequency Index) / 3 โดย Heat Intensity = (TXx + TNx + DTR)/3, Heat Duration = (GSL + WSDI)/2, Heat Frequency = (TX90p + TN90p + SU35 + TR20)/4 - ใช้ normalize ข้อมูลแบบ max-min ก่อนรวม</t>
  </si>
  <si>
    <t>TMD_6_23</t>
  </si>
  <si>
    <t>HI_Flood - ดัชนีภัยอันตรายจากน้ำท่วม (Flood Hazard Index)</t>
  </si>
  <si>
    <t>ดัชนีรวม (Composite): HI_Flood = (Flood Intensity Index + Flood Duration Index + Flood Frequency Index)/3 โดย Flood Intensity = [Rx1day + Rx5day + SDII + R95p + R99p + PRCPTOT + (SPI-1&gt;1.5)]/7, Flood Duration = [CWD + (CSPI-1&gt;1.5)]/2, Flood Frequency = [R10mm + R20mm + (FSPI-1&gt;1.5)]/3 - ใช้ normalize ข้อมูลแบบ max-min ก่อนรวม</t>
  </si>
  <si>
    <t>TMD_6_24</t>
  </si>
  <si>
    <t>HI_Drought - ดัชนีภัยอันตรายจากภัยแล้ง (Drought Hazard Index)</t>
  </si>
  <si>
    <t>ดัชนีรวม (Composite): HI_Drought = (Drought Intensity Index + Drought Duration Index + Drought Frequency Index)/3 โดย Drought Intensity = |SPI-1&lt;-1.5|, Drought Duration = [CDD + (CSPI-1&lt;-1.5)]/2, Drought Frequency = (FSPI-1&lt;-1.5) - ใช้ normalize ข้อมูลแบบ max-min ก่อนรวม</t>
  </si>
  <si>
    <t>TMD_6_25</t>
  </si>
  <si>
    <t>จำนวนสถานีตรวจวัดอากาศหรือสถานีวัดน้ำฝน</t>
  </si>
  <si>
    <t>Drought (ภัยแล้ง); Flood (อุทกภัย)</t>
  </si>
  <si>
    <t>Human Settlement — ตั้งถิ่นฐาน; Tourism — ท่องเที่ยว; Water — น้ำ</t>
  </si>
  <si>
    <t>อาจมาจาก: กรมอุตุนิยมวิทยา / กรมทรัพยากรน้ำ / สสน. (สถานีตรวจวัดอากาศ/วัดน้ำฝน)</t>
  </si>
  <si>
    <t>TMD_6_26</t>
  </si>
  <si>
    <t>ค่าการระเหยน้ำของพืช</t>
  </si>
  <si>
    <t>Drought (ภัยแล้ง); Heat (คลื่นความร้อน)</t>
  </si>
  <si>
    <t>Agriculture — เกษตร; Water — น้ำ</t>
  </si>
  <si>
    <t>มม./ปี</t>
  </si>
  <si>
    <t>อาจมาจาก: กรมอุตุนิยมวิทยา / กรมชลประทาน (ค่าการระเหย ET)</t>
  </si>
  <si>
    <t>TMD_6_27</t>
  </si>
  <si>
    <t>จำนวนสถานีตรวจวัดอากาศอัตโนมัติในพื้นที่ป่าต้นน้ำ</t>
  </si>
  <si>
    <t>Natural Resources — ทรัพยากรธรรมชาติ</t>
  </si>
  <si>
    <t>อาจมาจาก: กรมอุตุนิยมวิทยา / กรมอุทยานฯ (สถานีตรวจอากาศในป่าต้นน้ำ)</t>
  </si>
  <si>
    <t>DMCR_1_1</t>
  </si>
  <si>
    <t>พื้นที่กัดเซาะชายฝั่ง (WebGIS DCCE)</t>
  </si>
  <si>
    <t>Coastal (ชายฝั่ง)</t>
  </si>
  <si>
    <t>Up to 2025</t>
  </si>
  <si>
    <t>กม. / ตร.กม.</t>
  </si>
  <si>
    <t>ข้อมูลพื้นที่ชายฝั่งที่เกิดการกัดเซาะ การทับถม หรือการเปลี่ยนแปลงแนวชายฝั่ง | จากรายการขอข้อมูล WebGIS DCCE 19/01/2026 (1_Data_WebGIS_DCCE_20260119.xlsx → sheet: DMCR, ลำดับที่ 1)</t>
  </si>
  <si>
    <t>DMCR_2_1</t>
  </si>
  <si>
    <t>ปะการังฟอกขาว</t>
  </si>
  <si>
    <t>Heat (คลื่นความร้อน); Sea-level Rise (ระดับน้ำทะเลสูงขึ้น)</t>
  </si>
  <si>
    <t>Coastal (ชายฝั่ง); Natural Resources (ทรัพยากรธรรมชาติ)</t>
  </si>
  <si>
    <t>ตร.กม. / %</t>
  </si>
  <si>
    <t>ข้อมูลพื้นที่และระดับการเกิดปะการังฟอกขาว ใช้ติดตามผลกระทบจากอุณหภูมิน้ำทะเลที่สูงขึ้น | จากรายการขอข้อมูล WebGIS DCCE 19/01/2026 (1_Data_WebGIS_DCCE_20260119.xlsx → sheet: DMCR, ลำดับที่ 2)</t>
  </si>
  <si>
    <t>DMCR_3_1</t>
  </si>
  <si>
    <t>แนวปะการัง</t>
  </si>
  <si>
    <t>Shapefile / Vector; API / Web Service</t>
  </si>
  <si>
    <t>ข้อมูลขอบเขตและตำแหน่งของแนวปะการัง ใช้ประกอบการบริหารจัดการทรัพยากรชายฝั่ง | จากรายการขอข้อมูล WebGIS DCCE 19/01/2026 (1_Data_WebGIS_DCCE_20260119.xlsx → sheet: DMCR, ลำดับที่ 3)</t>
  </si>
  <si>
    <t>DMCR_3_2</t>
  </si>
  <si>
    <t>แนวป่าชายเลน</t>
  </si>
  <si>
    <t>Coastal Erosion (กัดเซาะชายฝั่ง); Storm (พายุ)</t>
  </si>
  <si>
    <t>ตร.กม. / ไร่</t>
  </si>
  <si>
    <t>ข้อมูลขอบเขตป่าชายเลน ใช้ประกอบการประเมินศักยภาพการดูดซับคาร์บอนและการป้องกันแนวชายฝั่ง | จากรายการขอข้อมูล WebGIS DCCE 19/01/2026 (1_Data_WebGIS_DCCE_20260119.xlsx → sheet: DMCR, ลำดับที่ 4)</t>
  </si>
  <si>
    <t>DMCR_4_1</t>
  </si>
  <si>
    <t>พื้นที่กัดเซาะชายฝั่ง (DMCR ภาคสนาม)</t>
  </si>
  <si>
    <t>จังหวัดชายฝั่ง</t>
  </si>
  <si>
    <t>ข้อมูลพื้นที่ชายฝั่งที่เกิดการกัดเซาะหรือเปลี่ยนแปลงแนวชายฝั่ง</t>
  </si>
  <si>
    <t>DMCR_5_1</t>
  </si>
  <si>
    <t>พื้นที่แหล่งปะการังในจังหวัด</t>
  </si>
  <si>
    <t>Tourism — ท่องเที่ยว</t>
  </si>
  <si>
    <t>อาจมาจาก: กรมทรัพยากรทางทะเลและชายฝั่ง (ทช.) - พื้นที่แนวปะการัง</t>
  </si>
  <si>
    <t>DMR_1_1</t>
  </si>
  <si>
    <t>พื้นที่ได้รับผลกระทบจากแผ่นดินถล่มและน้ำป่าไหลหลาก</t>
  </si>
  <si>
    <t>Shapefile; CSV</t>
  </si>
  <si>
    <t>พื้นที่ที่ได้รับผลกระทบจริงจากดินถล่ม น้ำป่าไหลหลาก และน้ำท่วมฉับพลัน</t>
  </si>
  <si>
    <t>DMR_2_1</t>
  </si>
  <si>
    <t>พื้นที่เสี่ยงภัยดินถล่ม น้ำป่าไหลหลาก และน้ำท่วมฉับพลัน</t>
  </si>
  <si>
    <t>Human Settlement — ตั้งถิ่นฐาน; Natural Resources — ทรัพยากรธรรมชาติ; Water — น้ำ</t>
  </si>
  <si>
    <t>อาจมาจาก: กรมทรัพยากรธรณี / ปภ. (พื้นที่เสี่ยงดินถล่มและน้ำป่าไหลหลาก)</t>
  </si>
  <si>
    <t>DMR_2_2</t>
  </si>
  <si>
    <t>พื้นที่มีโอกาสเกิดดินถล่ม</t>
  </si>
  <si>
    <t>Water — น้ำ</t>
  </si>
  <si>
    <t>อาจมาจาก: กรมทรัพยากรธรณี / ปภ. (พื้นที่เสี่ยงดินถล่ม)</t>
  </si>
  <si>
    <t>DDPM_1_1</t>
  </si>
  <si>
    <t>แผนที่ความเสี่ยงอุทกภัย</t>
  </si>
  <si>
    <t>DDPM_2_1</t>
  </si>
  <si>
    <t>ข้อมูลเหตุการณ์ภัยพิบัติย้อนหลัง 10 ปี (10-year historical disaster occurrence data)</t>
  </si>
  <si>
    <t>จำนวนเหตุการณ์; ความเสียหาย</t>
  </si>
  <si>
    <t>ข้อมูล one-way จาก อปท. → จังหวัด; ส่วนกลางไม่ ground-truth ได้; ขาด taxonomy ตาม UNDRR</t>
  </si>
  <si>
    <t>เริ่ม rollout เครื่องมือ GIS reporting</t>
  </si>
  <si>
    <t>DDPM_2_2</t>
  </si>
  <si>
    <t>ข้อมูลผลการประเมินความเสี่ยงด้านสภาพภูมิอากาศภาคเหนือ 17 จังหวัด (Northern Region Climate Risk Assessment)</t>
  </si>
  <si>
    <t>Flood (อุทกภัย); Landslide (ดินถล่ม)</t>
  </si>
  <si>
    <t>PDF Report; Shapefile</t>
  </si>
  <si>
    <t>อยู่ระหว่างจัดซื้อจัดจ้าง คาดเสร็จกันยายน 2569</t>
  </si>
  <si>
    <t>ใช้วิธี index-based 10-20 ตัวชี้วัด</t>
  </si>
  <si>
    <t>DDPM_2_3</t>
  </si>
  <si>
    <t>ข้อมูลความเสียหายของทรัพย์สิน (ถนน ปศุสัตว์ วัด ฯลฯ) ตามรายงานของ อปท. (LAO-reported damage counts)</t>
  </si>
  <si>
    <t>Flood (อุทกภัย); Storm (พายุ); Drought (ภัยแล้ง)</t>
  </si>
  <si>
    <t>Agriculture (เกษตร); Human Settlement (ตั้งถิ่นฐาน); Cross-cutting (หลายสาขา)</t>
  </si>
  <si>
    <t>จำนวน; THB</t>
  </si>
  <si>
    <t>LAO ใส่ข้อมูลล่าช้าและไม่ตรงประเภท ต้องการเครื่องมือ AI ทำความสะอาด</t>
  </si>
  <si>
    <t>ผูกกับการเบิกจ่ายเงินเยียวยา</t>
  </si>
  <si>
    <t>DDPM_3_1</t>
  </si>
  <si>
    <t>พื้นที่ประสบภัยน้ำแล้งรุนแรง</t>
  </si>
  <si>
    <t>Human Settlement — ตั้งถิ่นฐาน; Water — น้ำ</t>
  </si>
  <si>
    <t>อาจมาจาก: กรมป้องกันและบรรเทาสาธารณภัย (ปภ.); กรมพัฒนาที่ดิน (พื้นที่ประสบภัยแล้งรุนแรง)</t>
  </si>
  <si>
    <t>DDPM_3_2</t>
  </si>
  <si>
    <t>มูลค่าความเสียหายจากภัยแล้ง</t>
  </si>
  <si>
    <t>บาทต่อปี</t>
  </si>
  <si>
    <t>อาจมาจาก: กรมป้องกันและบรรเทาสาธารณภัย (ปภ.) - มูลค่าความเสียหายจากภัยพิบัติ</t>
  </si>
  <si>
    <t>DDPM_3_3</t>
  </si>
  <si>
    <t>พื้นที่ประสบภัยน้ำท่วมรุนแรง</t>
  </si>
  <si>
    <t>อาจมาจาก: ปภ. / กรมป้องกันและบรรเทาสาธารณภัย (พื้นที่ประสบภัยน้ำท่วมรุนแรง)</t>
  </si>
  <si>
    <t>DDPM_3_4</t>
  </si>
  <si>
    <t>สัดส่วนหมู่บ้านและชุมชนที่ประสบภัยแล้งรุนแรง</t>
  </si>
  <si>
    <t>อาจมาจาก: ปภ. (มูลค่าความเสียหายจากอุทกภัย)</t>
  </si>
  <si>
    <t>DDPM_3_5</t>
  </si>
  <si>
    <t>ระยะเวลาที่น้ำท่วมขัง ในเขตที่อยู่อาศัย</t>
  </si>
  <si>
    <t>ชั่วโมง</t>
  </si>
  <si>
    <t>อาจมาจาก: ปภ. / สสน. / กรมโยธาธิการและผังเมือง (ระยะเวลาน้ำท่วมขัง)</t>
  </si>
  <si>
    <t>DDPM_3_6</t>
  </si>
  <si>
    <t>ระดับความลึกของน้ำท่วม ในเขตที่อยู่อาศัย</t>
  </si>
  <si>
    <t>เมตร</t>
  </si>
  <si>
    <t>อาจมาจาก: ปภ. / สสน. / กรมโยธาธิการและผังเมือง (ระดับความลึกน้ำท่วม)</t>
  </si>
  <si>
    <t>DDPM_3_7</t>
  </si>
  <si>
    <t>สัดส่วนหมู่บ้านและชุมชนที่มีอุทกภัย/ดินโคลนถล่ม (รวม — ต่อหมู่บ้านทั้งหมด)</t>
  </si>
  <si>
    <t>ร้อยละ</t>
  </si>
  <si>
    <t>อาจมาจาก: ปภ. / กรมพัฒนาที่ดิน (สัดส่วนหมู่บ้านที่ประสบภัยแล้ง)</t>
  </si>
  <si>
    <t>DDPM_3_8</t>
  </si>
  <si>
    <t>สัดส่วนหมู่บ้านและชุมชนที่มีอุทกภัย ดินโคลนถล่มต่อหมู่บ้านทั้งหมด</t>
  </si>
  <si>
    <t>อาจมาจาก: ปภ. (สัดส่วนหมู่บ้านที่มีอุทกภัย/ดินโคลนถล่ม)</t>
  </si>
  <si>
    <t>DDPM_3_9</t>
  </si>
  <si>
    <t>สัดส่วนหมู่บ้านที่ไม่มีการเตือนภัยและมาตรการช่วยเหลือต่อหมู่บ้านในพื้นที่น้ำท่วม</t>
  </si>
  <si>
    <t>แห่ง</t>
  </si>
  <si>
    <t>อาจมาจาก: ปภ. (สัดส่วนหมู่บ้านที่ไม่มีระบบเตือนภัย)</t>
  </si>
  <si>
    <t>DDPM_3_10</t>
  </si>
  <si>
    <t>พื้นที่เสี่ยงภัยแล้งซ้ำซาก (สัดส่วนหมู่บ้านและชุมชนที่เกิดภัยแล้ง)</t>
  </si>
  <si>
    <t>Public Health — สาธารณสุข; Tourism — ท่องเที่ยว</t>
  </si>
  <si>
    <t>อาจมาจาก: ปภ. / กรมพัฒนาที่ดิน (พื้นที่เสี่ยงภัยแล้งซ้ำซาก)</t>
  </si>
  <si>
    <t>DDPM_3_11</t>
  </si>
  <si>
    <t>สัดส่วนหมู่บ้านและชุมชนที่มีอุทกภัย ดินโคลนถล่ม</t>
  </si>
  <si>
    <t>MD_1_2</t>
  </si>
  <si>
    <t>ข้อมูลระดับน้ำทะเล</t>
  </si>
  <si>
    <t>ม. (เมตร)</t>
  </si>
  <si>
    <t>LDD_1_1</t>
  </si>
  <si>
    <t>Agriculture (เกษตร); Water (น้ำ)</t>
  </si>
  <si>
    <t>http://sql.ldd.go.th/ldddata/mapsoilH2.html</t>
  </si>
  <si>
    <t>ข้อมูลพื้นที่ที่เกิดน้ำท่วมซ้ำซากอย่างต่อเนื่อง | จากรายการขอข้อมูล WebGIS DCCE 19/01/2026 (1_Data_WebGIS_DCCE_20260119.xlsx → sheet: LDD, ลำดับที่ 2)</t>
  </si>
  <si>
    <t>Website บัญชีรายการข้อมูลกรมพัฒนาที่ดิน</t>
  </si>
  <si>
    <t>LDD_1_2</t>
  </si>
  <si>
    <t>สิ่งปกคลุมดิน</t>
  </si>
  <si>
    <t>2006-2020</t>
  </si>
  <si>
    <t>http://sql.ldd.go.th/ldddata/mapsoilB1.html</t>
  </si>
  <si>
    <t>ข้อมูลประเภทการใช้ที่ดินและสิ่งปกคลุมดิน (Land Use/Land Cover) | จากรายการขอข้อมูล WebGIS DCCE 19/01/2026 (1_Data_WebGIS_DCCE_20260119.xlsx → sheet: LDD, ลำดับที่ 3)</t>
  </si>
  <si>
    <t>LDD_1_3</t>
  </si>
  <si>
    <t>พื้นที่แล้งซ้ำซาก</t>
  </si>
  <si>
    <t>Shapefile / Vector</t>
  </si>
  <si>
    <t>ข้อมูลพื้นที่แล้งซ้ำซากใช้ในการวางแผนการใช้ที่ดินและการป้องกันภัยจากธรรมชาติ</t>
  </si>
  <si>
    <t>LDD_2_1</t>
  </si>
  <si>
    <t>พื้นที่เสี่ยงภัยแล้งซ้ำซาก</t>
  </si>
  <si>
    <t>Human Settlement — ตั้งถิ่นฐาน</t>
  </si>
  <si>
    <t>อาจมาจาก: กรมพัฒนาที่ดิน (พื้นที่เสี่ยงภัยแล้งซ้ำซาก); กรมป้องกันและบรรเทาสาธารณภัย (ปภ.)</t>
  </si>
  <si>
    <t>LDD_2_2</t>
  </si>
  <si>
    <t>พื้นที่โล่ง</t>
  </si>
  <si>
    <t>Flood (อุทกภัย); Heat (คลื่นความร้อน)</t>
  </si>
  <si>
    <t>อาจมาจาก: กรมพัฒนาที่ดิน / กรมโยธาธิการและผังเมือง (พื้นที่โล่ง)</t>
  </si>
  <si>
    <t>LDD_2_3</t>
  </si>
  <si>
    <t>พื้นที่เกษตรกรรมในพื้นที่แล้งซ้ำซาก</t>
  </si>
  <si>
    <t>Agriculture — เกษตร</t>
  </si>
  <si>
    <t>อาจมาจาก: กรมพัฒนาที่ดิน / สำนักงานเศรษฐกิจการเกษตร (พื้นที่เกษตรในพื้นที่แล้งซ้ำซาก)</t>
  </si>
  <si>
    <t>LDD_2_4</t>
  </si>
  <si>
    <t>ความลาดชัน</t>
  </si>
  <si>
    <t>อาจมาจาก: กรมพัฒนาที่ดิน / GISTDA (ความลาดชัน)</t>
  </si>
  <si>
    <t>LDD_2_5</t>
  </si>
  <si>
    <t>ระดับความลึกของดิน</t>
  </si>
  <si>
    <t>Drought (ภัยแล้ง); Flood (อุทกภัย); Heat (คลื่นความร้อน)</t>
  </si>
  <si>
    <t>ซม.</t>
  </si>
  <si>
    <t>อาจมาจาก: กรมพัฒนาที่ดิน (ระดับความลึกของดิน)</t>
  </si>
  <si>
    <t>LDD_2_6</t>
  </si>
  <si>
    <t>ความสามารถในการกักเก็บน้ำของดิน</t>
  </si>
  <si>
    <t>mm water / m soil</t>
  </si>
  <si>
    <t>อาจมาจาก: กรมพัฒนาที่ดิน (ความสามารถในการกักเก็บน้ำของดิน)</t>
  </si>
  <si>
    <t>LDD_2_7</t>
  </si>
  <si>
    <t>พื้นที่เสี่ยงภัยแล้ง</t>
  </si>
  <si>
    <t>อาจมาจาก: กรมพัฒนาที่ดิน / ปภ. (พื้นที่เสี่ยงภัยแล้ง)</t>
  </si>
  <si>
    <t>HII_1_1</t>
  </si>
  <si>
    <t>Water (น้ำ); Agriculture (เกษตร)</t>
  </si>
  <si>
    <t>2024-2026</t>
  </si>
  <si>
    <t>ระดับความเสี่ยง (1-5)</t>
  </si>
  <si>
    <t>PDF</t>
  </si>
  <si>
    <t>https://data.hii.or.th/th/dataset/drought-risk-area/resource/1cd84954-8df7-4bbd-a13e-2c6fd92e5a95</t>
  </si>
  <si>
    <t>HII_2_1</t>
  </si>
  <si>
    <t>ค่าความเครียดของน้ำ</t>
  </si>
  <si>
    <t>Human Settlement — ตั้งถิ่นฐาน; Natural Resources — ทรัพยากรธรรมชาติ; Public Health — สาธารณสุข; Tourism — ท่องเที่ยว; Water — น้ำ</t>
  </si>
  <si>
    <t>อาจมาจาก: สถาบันสารสนเทศทรัพยากรน้ำ (สสน.) / กรมทรัพยากรน้ำ (ดัชนีความเครียดของน้ำ)</t>
  </si>
  <si>
    <t>HII_2_2</t>
  </si>
  <si>
    <t>เครือข่ายการจัดน้ำชุมชนของ สสน.</t>
  </si>
  <si>
    <t>ระบุชัดเจน: สถาบันสารสนเทศทรัพยากรน้ำ (สสน.) - เครือข่ายการจัดการน้ำชุมชน; กรมทรัพยากรน้ำ - โครงการเกษตรของรัฐ</t>
  </si>
  <si>
    <t>DOT_1_1</t>
  </si>
  <si>
    <t>จำนวนที่พัก (โรงแรม รีสอร์ต ฯลฯ) — กรมการท่องเที่ยว/ททท.</t>
  </si>
  <si>
    <t>จำนวนแหล่ง</t>
  </si>
  <si>
    <t>https://www.dot.go.th/pages/140</t>
  </si>
  <si>
    <t>DOT_2_1</t>
  </si>
  <si>
    <t>จำนวนที่พัก (โรงแรม รีสอร์ต ฯลฯ)</t>
  </si>
  <si>
    <t>อาจมาจาก: กรมการท่องเที่ยว / การท่องเที่ยวแห่งประเทศไทย (ททท.) (ที่พัก/โรงแรม)</t>
  </si>
  <si>
    <t>DOT_2_2</t>
  </si>
  <si>
    <t>จำนวนแหล่งท่องเที่ยวประเภทน้ำตก</t>
  </si>
  <si>
    <t>อาจมาจาก: กรมการท่องเที่ยว / กรมอุทยานฯ (แหล่งท่องเที่ยวประเภทน้ำตก)</t>
  </si>
  <si>
    <t>DOT_2_3</t>
  </si>
  <si>
    <t>จำนวนแหล่งท่องเที่ยวประเภททะเล ชายฝั่ง และเกาะ</t>
  </si>
  <si>
    <t>อาจมาจาก: กรมการท่องเที่ยว / กรมทรัพยากรทางทะเลและชายฝั่ง (ทช.) (แหล่งท่องเที่ยวทะเล/ชายฝั่ง)</t>
  </si>
  <si>
    <t>DOT_2_4</t>
  </si>
  <si>
    <t>แหล่งท่องเที่ยวที่มีความเสื่อมโทรม</t>
  </si>
  <si>
    <t>อาจมาจาก: กรมการท่องเที่ยว / สผ. (แหล่งท่องเที่ยวเสื่อมโทรม)</t>
  </si>
  <si>
    <t>DOT_2_5</t>
  </si>
  <si>
    <t>จำนวนที่พักแรม (โรงแรม รีสอร์ต ฯลฯ) — ทะเบียนที่พักแรม</t>
  </si>
  <si>
    <t>อาจมาจาก: กรมการท่องเที่ยว / กรมทรัพยากรธรณี (แหล่งท่องเที่ยวภูเขา/ธรณีสัณฐาน)</t>
  </si>
  <si>
    <t>DOT_2_6</t>
  </si>
  <si>
    <t>จำนวนที่พักแรม (โรงแรม รีสอร์ต ฯลฯ)</t>
  </si>
  <si>
    <t>อาจมาจาก: กรมการท่องเที่ยว / ททท. (จำนวนที่พักแรม)</t>
  </si>
  <si>
    <t>DOT_2_7</t>
  </si>
  <si>
    <t>จำนวนนักท่องเที่ยวกลุ่มสูงอายุ</t>
  </si>
  <si>
    <t>อาจมาจาก: กรมการท่องเที่ยว / ททท. (สถิตินักท่องเที่ยว/นักท่องเที่ยวสูงอายุ)</t>
  </si>
  <si>
    <t>DOT_2_8</t>
  </si>
  <si>
    <t>จำนวนแหล่งท่องเที่ยวประเภทที่มนุษย์สร้างขึ้นที่เป็นแหล่งท่องเที่ยวในร่ม เช่น ห้างสรรพสินค้า พิพิธภัณฑ์ ฯลฯ</t>
  </si>
  <si>
    <t>อาจมาจาก: กรมการท่องเที่ยว / ททท. (แหล่งท่องเที่ยวในร่ม/มนุษย์สร้าง)</t>
  </si>
  <si>
    <t>DOPA_1_1</t>
  </si>
  <si>
    <t>จำนวนประชากร</t>
  </si>
  <si>
    <t>1993-2025</t>
  </si>
  <si>
    <t>คน</t>
  </si>
  <si>
    <t>https://stat.bora.dopa.go.th/new_stat/webPage/statByAge.php</t>
  </si>
  <si>
    <t>DOPA_1_2</t>
  </si>
  <si>
    <t>จุดหมู่บ้าน</t>
  </si>
  <si>
    <t>ข้อมูลตำแหน่งหมู่บ้าน/ชุมชน ใช้ประกอบการวิเคราะห์เชิงพื้นที่และการเข้าถึงบริการ | จากรายการขอข้อมูล WebGIS DCCE 19/01/2026 (1_Data_WebGIS_DCCE_20260119.xlsx → sheet: DOPA, ลำดับที่ 2)</t>
  </si>
  <si>
    <t>DOPA_1_3</t>
  </si>
  <si>
    <t>ขอบเขตการปกครอง</t>
  </si>
  <si>
    <t>DOPA_2_1</t>
  </si>
  <si>
    <t>จำนวนครัวเรือนในขอบเขตเทศบาล</t>
  </si>
  <si>
    <t>ครัวเรือน</t>
  </si>
  <si>
    <t>อาจมาจาก: กรมการปกครอง / สำนักงานสถิติแห่งชาติ</t>
  </si>
  <si>
    <t>DOH_1_1</t>
  </si>
  <si>
    <t>ถนนหลวง ถนนสายหลัก และทางหลวงพิเศษ</t>
  </si>
  <si>
    <t>Transport (คมนาคม)</t>
  </si>
  <si>
    <t>กม.</t>
  </si>
  <si>
    <t>https://hris.doh.go.th/highway</t>
  </si>
  <si>
    <t>DOH_2_1</t>
  </si>
  <si>
    <t>ความยาวถนนในพื้นที่น้ำท่วมซ้ำซาก</t>
  </si>
  <si>
    <t>อาจมาจาก: กรมทางหลวง / กรมทางหลวงชนบท ร่วมกับ GISTDA (ความยาวถนนในพื้นที่น้ำท่วม)</t>
  </si>
  <si>
    <t>DOH_2_2</t>
  </si>
  <si>
    <t>โครงสร้างพื้นฐานด้านคมนาคมขนส่ง</t>
  </si>
  <si>
    <t>อาจมาจาก: กรมทางหลวง / กรมทางหลวงชนบท / สำนักงานนโยบายและแผนการขนส่งและจราจร (สนข.)</t>
  </si>
  <si>
    <t>DOH_2_3</t>
  </si>
  <si>
    <t>โครงสร้างพื้นฐานบริเวณแหล่งท่องเที่ยว เช่น ถนน ฯลฯ</t>
  </si>
  <si>
    <t>อาจมาจาก: กรมทางหลวง / กรมทางหลวงชนบท / กรมการท่องเที่ยว (โครงสร้างพื้นฐานท่องเที่ยว)</t>
  </si>
  <si>
    <t>FAD_1_1</t>
  </si>
  <si>
    <t>แหล่งโบราณสถาน</t>
  </si>
  <si>
    <t>API</t>
  </si>
  <si>
    <t>https://gdcatalog.go.th/dataset/gdpublish-gis-fad001</t>
  </si>
  <si>
    <t>Website ข้อมูลบัญชีตำแหน่งโบราณสถาน</t>
  </si>
  <si>
    <t>FAD_2_1</t>
  </si>
  <si>
    <t>พื้นที่ที่ถูกประกาศเขตเมืองเก่า/อนุรักษ์</t>
  </si>
  <si>
    <t>อาจมาจาก: กรมศิลปากร / สำนักงานนโยบายและแผนทรัพยากรธรรมชาติและสิ่งแวดล้อม (สผ.) (เขตเมืองเก่า/อนุรักษ์)</t>
  </si>
  <si>
    <t>FAD_2_2</t>
  </si>
  <si>
    <t>จำนวนแหล่งท่องเที่ยวประเภทโบราณสถาน ประวัติศาสตร์ ฯลฯ</t>
  </si>
  <si>
    <t>อาจมาจาก: กรมศิลปากร / กรมการท่องเที่ยว (โบราณสถาน/แหล่งประวัติศาสตร์)</t>
  </si>
  <si>
    <t>DOHealth_1_1</t>
  </si>
  <si>
    <t>จุดที่ตั้งโรงพยาบาล ศูนย์สุขภาพประจำตำบล (รพ.สต.)</t>
  </si>
  <si>
    <t>2025 หรือล่าสุด</t>
  </si>
  <si>
    <t>จำนวนแห่ง</t>
  </si>
  <si>
    <t>https://gis-health.moph.go.th/</t>
  </si>
  <si>
    <t>Websiteระบบสารสนเทศภูมิศาสตร์ทรัพยากรสุขภาพ(GIS Health)</t>
  </si>
  <si>
    <t>DOHealth_1_2</t>
  </si>
  <si>
    <t>สถิติผู้ป่วยจากโรคที่เกี่ยวกับการเปลี่ยนแปลงสภาพภูมิอากาศ</t>
  </si>
  <si>
    <t>Heat (คลื่นความร้อน); Cross-cutting (ทุกภัย)</t>
  </si>
  <si>
    <t>คน / ราย</t>
  </si>
  <si>
    <t>สถิติจำนวนผู้ป่วยจากโรคที่สัมพันธ์กับการเปลี่ยนแปลงสภาพภูมิอากาศ (เช่น โรคจากความร้อน โรคที่มียุงเป็นพาหะ) | จากรายการขอข้อมูล WebGIS DCCE 19/01/2026 (1_Data_WebGIS_DCCE_20260119.xlsx → sheet: DOHealth, ลำดับที่ 2)</t>
  </si>
  <si>
    <t>DOHealth_2_1</t>
  </si>
  <si>
    <t>อัตราป่วยด้วยโรคความดัน เบาหวาน หลอดเลือดหัวใจต่อประชากรแสนคน</t>
  </si>
  <si>
    <t>Public Health — สาธารณสุข</t>
  </si>
  <si>
    <t>ระบุชัดเจน: กรมอนามัย - รายงานสถานการณ์ผลกระทบจากความร้อน; กระทรวงสาธารณสุข (NCDs)</t>
  </si>
  <si>
    <t>CDD_1_1</t>
  </si>
  <si>
    <t>จำนวนครัวเรือนกลุ่มเปราะบาง</t>
  </si>
  <si>
    <t>https://dashboard66.cdd.go.th/Home/DashBoardPublic</t>
  </si>
  <si>
    <t>Website dashboard66 CDD</t>
  </si>
  <si>
    <t>OBEC_1_1</t>
  </si>
  <si>
    <t>ข้อมูลตำแหน่งที่ตั้งและขอบเขตของสถานศึกษาในสังกัด สพฐ.</t>
  </si>
  <si>
    <t>จำนวนโรงเรียน</t>
  </si>
  <si>
    <t>https://asset.bopp-obec.info/</t>
  </si>
  <si>
    <t>Website OBEC</t>
  </si>
  <si>
    <t>MHESI_1_1</t>
  </si>
  <si>
    <t>ข้อมูลตำแหน่งที่ตั้งและขอบเขตของสถาบันอุดมศึกษา</t>
  </si>
  <si>
    <t>https://info.mhesi.go.th/homestat_academy.php</t>
  </si>
  <si>
    <t>Website ข้อมูลสถาบันอุดมศึกษา</t>
  </si>
  <si>
    <t>IEAT_1_1</t>
  </si>
  <si>
    <t>เขตนิคมอุตสาหกรรม</t>
  </si>
  <si>
    <t>Human Settlement (ตั้งถิ่นฐาน); Energy (พลังงาน)</t>
  </si>
  <si>
    <t>https://www.ieat.go.th/web-upload/1xff0d34e409a13ef56eea54c52a291126/202205/m_document/8190/16421/file_download/2f763a7ceb431ec89442d39c616529f8.pdf</t>
  </si>
  <si>
    <t>Report แผนที่ตั้งนิคมอุตสาหกรรม 66 แห่ง ใน 16 จังหวัด</t>
  </si>
  <si>
    <t>MWA_1_1</t>
  </si>
  <si>
    <t>ข้อมูลตำแหน่งที่ตั้งและขอบเขตของโรงประปานครหลวง</t>
  </si>
  <si>
    <t>Shapefile / Vector; CSV</t>
  </si>
  <si>
    <t>https://gisonline.mwa.co.th/fvt_gis/</t>
  </si>
  <si>
    <t>PWA_1_1</t>
  </si>
  <si>
    <t>ข้อมูลตำแหน่งที่ตั้งและขอบเขตของโรงประปาส่วนภูมิภาค</t>
  </si>
  <si>
    <t>https://gisapp.pwa.co.th/p/home</t>
  </si>
  <si>
    <t>Website ระบบนำเข้าข้อมูล GIS ออนไลน์ การประปาส่วนภูมิภาค</t>
  </si>
  <si>
    <t>PWA_2_1</t>
  </si>
  <si>
    <t>ปริมาณน้ำใช้อุปโภคบริโภคและอุตสาหกรรม</t>
  </si>
  <si>
    <t>ล้านลบ.ม.</t>
  </si>
  <si>
    <t>อาจมาจาก: การประปาส่วนภูมิภาค (กปภ.) / การประปานครหลวง (กปน.); กรมโรงงานอุตสาหกรรม</t>
  </si>
  <si>
    <t>PWA_2_2</t>
  </si>
  <si>
    <t>เขตการให้บริการน้ำประปาส่วนภูมิภาค</t>
  </si>
  <si>
    <t>อาจมาจาก: การประปาส่วนภูมิภาค (กปภ.)</t>
  </si>
  <si>
    <t>PWA_2_3</t>
  </si>
  <si>
    <t>โครงสร้างพื้นฐานด้านประปา</t>
  </si>
  <si>
    <t>อาจมาจาก: การประปาส่วนภูมิภาค (กปภ.) / การประปานครหลวง (กปน.)</t>
  </si>
  <si>
    <t>PWA_2_4</t>
  </si>
  <si>
    <t>สัดส่วนของหมู่บ้านหรือพื้นที่ให้บริการน้ำประปาต่อหมู่บ้านทั้งหมด</t>
  </si>
  <si>
    <t>Tourism — ท่องเที่ยว; Water — น้ำ</t>
  </si>
  <si>
    <t>อาจมาจาก: การประปาส่วนภูมิภาค (กปภ.) / กรมส่งเสริมการปกครองท้องถิ่น (สัดส่วนหมู่บ้านมีน้ำประปา)</t>
  </si>
  <si>
    <t>SRT_1_1</t>
  </si>
  <si>
    <t>แนวเส้นทางรถไฟ</t>
  </si>
  <si>
    <t>ข้อมูลแนวเส้นและตำแหน่งของทางรถไฟ | จากรายการขอข้อมูล WebGIS DCCE 19/01/2026 (1_Data_WebGIS_DCCE_20260119.xlsx → sheet: SRT, ลำดับที่ 1)</t>
  </si>
  <si>
    <t>NSO_1_1</t>
  </si>
  <si>
    <t>จำนวนครัวเรือนทั้งหมด — WebGIS DCCE (รายจังหวัด)</t>
  </si>
  <si>
    <t>https://nsodw.nso.go.th/dwportal/Home.aspx</t>
  </si>
  <si>
    <t>ข้อมูลจำนวนครัวเรือนทั้งหมดในแต่ละจังหวัด | จากรายการขอข้อมูล WebGIS DCCE 19/01/2026 (1_Data_WebGIS_DCCE_20260119.xlsx → sheet: NSO, ลำดับที่ 1)</t>
  </si>
  <si>
    <t>Website ระบบคลังข้อมูลสถิติ</t>
  </si>
  <si>
    <t>NSO_1_2</t>
  </si>
  <si>
    <t>สำมะโนประชากรและเคหะ (Population and Housing Census)</t>
  </si>
  <si>
    <t>Human Settlement (ตั้งถิ่นฐาน); Cross-cutting (หลายสาขา)</t>
  </si>
  <si>
    <t>ทุก 10 ปี</t>
  </si>
  <si>
    <t>คน; ครัวเรือน</t>
  </si>
  <si>
    <t>ระดับตำบล (basic) ถึงระดับจังหวัด (deep attributes)</t>
  </si>
  <si>
    <t>Database; CSV</t>
  </si>
  <si>
    <t>วัดผู้อยู่อาศัยจริง ไม่ใช่ทะเบียนราษฎร์</t>
  </si>
  <si>
    <t>NSO_1_3</t>
  </si>
  <si>
    <t>สำมะโนการเกษตร (Agricultural Census)</t>
  </si>
  <si>
    <t>ครัวเรือน; ไร่; THB</t>
  </si>
  <si>
    <t>ระดับตำบล</t>
  </si>
  <si>
    <t>รวมตัวชี้วัดความเปราะบาง: หนี้สิน, การเป็นเจ้าของทรัพย์สิน, การถือครองที่ดิน</t>
  </si>
  <si>
    <t>NSO_1_4</t>
  </si>
  <si>
    <t>สำมะโนอุตสาหกรรม (Industrial Census)</t>
  </si>
  <si>
    <t>สถานประกอบการ</t>
  </si>
  <si>
    <t>รายจังหวัด</t>
  </si>
  <si>
    <t>financial attributes ละเอียดได้แค่ระดับจังหวัด</t>
  </si>
  <si>
    <t>NSO_1_5</t>
  </si>
  <si>
    <t>การสำรวจภาวะการทำงานของประชากร (Labor Force Survey)</t>
  </si>
  <si>
    <t>สำรวจ ~20,000 ครัวเรือน/100,000 คน ต่อเดือน</t>
  </si>
  <si>
    <t>NSO_1_6</t>
  </si>
  <si>
    <t>การสำรวจภาวะเศรษฐกิจและสังคมของครัวเรือน (Socio-Economic Survey - SES)</t>
  </si>
  <si>
    <t>THB; ครัวเรือน</t>
  </si>
  <si>
    <t>ใช้ proxy questions เช่น การใช้เชื้อเพลิงแข็ง</t>
  </si>
  <si>
    <t>NSO_1_7</t>
  </si>
  <si>
    <t>กรอบการพัฒนาสถิติสิ่งแวดล้อม (Framework for Development of Environment Statistics - FDES)</t>
  </si>
  <si>
    <t>Natural Resources (ทรัพยากรธรรมชาติ); Cross-cutting (หลายสาขา)</t>
  </si>
  <si>
    <t>PDF Report; Database</t>
  </si>
  <si>
    <t>รายการสถิติยังรอ ครม. อนุมัติ</t>
  </si>
  <si>
    <t>ปรับจากแนวทาง UN: 6 components / 21 sub-components</t>
  </si>
  <si>
    <t>NSO_1_8</t>
  </si>
  <si>
    <t>ฐานข้อมูล Common Frame ของสถานประกอบการ (Common Frame Database of establishments)</t>
  </si>
  <si>
    <t>รวมข้อมูลจาก &gt;10 หน่วยงาน เช่น พค. กรง.</t>
  </si>
  <si>
    <t>NSO_2_1</t>
  </si>
  <si>
    <t>จำนวนครัวเรือนทั้งหมด — สำนักงานสถิติ/สภาพัฒน์ฯ</t>
  </si>
  <si>
    <t>อาจมาจาก: สำนักงานสถิติแห่งชาติ / สภาพัฒน์ฯ (ข้อมูลการจ้างงาน/ผู้มีงานทำ)</t>
  </si>
  <si>
    <t>NSO_2_2</t>
  </si>
  <si>
    <t>จำนวนประชากรแฝง</t>
  </si>
  <si>
    <t>อาจมาจาก: สำนักงานสถิติแห่งชาติ / สภาพัฒน์ฯ (ประชากรแฝง)</t>
  </si>
  <si>
    <t>NSO_2_3</t>
  </si>
  <si>
    <t>จำนวนผู้ย้ายถิ่นภายใน 5 ปี</t>
  </si>
  <si>
    <t>อาจมาจาก: สำนักงานสถิติแห่งชาติ / กรมการปกครอง (ข้อมูลผู้ย้ายถิ่น)</t>
  </si>
  <si>
    <t>NSO_2_4</t>
  </si>
  <si>
    <t>จำนวนครัวเรือนที่ผู้หญิงเป็นแม่เลี้ยงเดี่ยว</t>
  </si>
  <si>
    <t>อาจมาจาก: สำนักงานสถิติแห่งชาติ / สภาพัฒน์ฯ</t>
  </si>
  <si>
    <t>NSO_2_5</t>
  </si>
  <si>
    <t>จำนวนครัวเรือนทั้งหมด</t>
  </si>
  <si>
    <t>อาจมาจาก: สำนักงานสถิติแห่งชาติ / สภาพัฒน์ฯ (จำนวนครัวเรือน)</t>
  </si>
  <si>
    <t>NSO_2_6</t>
  </si>
  <si>
    <t>สัดส่วนของประชากรที่สำเร็จการศึกษาตั้งแต่มัธยมศึกษาตอนปลายขึ้นไป</t>
  </si>
  <si>
    <t>อาจมาจาก: สำนักงานสถิติแห่งชาติ / กระทรวงศึกษาธิการ (ระดับการศึกษา)</t>
  </si>
  <si>
    <t>EPPO_1_1</t>
  </si>
  <si>
    <t>ตำแหน่งที่ตั้งโรงไฟฟ้า</t>
  </si>
  <si>
    <t>ข้อมูลตำแหน่งที่ตั้งและขอบเขตของโรงไฟฟ้า รวมถึงประเภทโรงไฟฟ้า | จากรายการขอข้อมูล WebGIS DCCE 19/01/2026 (1_Data_WebGIS_DCCE_20260119.xlsx → sheet: EPPO, ลำดับที่ 1)</t>
  </si>
  <si>
    <t>Website ข้อมูลโรงไฟฟ้า</t>
  </si>
  <si>
    <t>DPT_1_1</t>
  </si>
  <si>
    <t>แผนที่พื้นที่เสี่ยงน้ำท่วมเพื่อการวางผังเมือง (Flood-prone area planning maps)</t>
  </si>
  <si>
    <t>Shapefile; PDF Report</t>
  </si>
  <si>
    <t>ใช้สถิติฝนในอดีต ยังไม่ปรับตามการเปลี่ยนแปลงสภาพภูมิอากาศ</t>
  </si>
  <si>
    <t>ใช้ในงานวางผังเมืองและวางระบบระบายน้ำลุ่มน้ำ</t>
  </si>
  <si>
    <t>DPT_1_2</t>
  </si>
  <si>
    <t>ข้อมูลการใช้ประโยชน์ที่ดินจากผังเมือง (Land-use data from town/city plans)</t>
  </si>
  <si>
    <t>ตามรอบปรับปรุงผังเมือง</t>
  </si>
  <si>
    <t>ระดับจังหวัด/เมือง</t>
  </si>
  <si>
    <t>ส่วนใหญ่ยังเป็น PDF/กระดาษ ไม่ใช่ข้อมูล GIS-ready</t>
  </si>
  <si>
    <t>ผลิตเองโดย DPT</t>
  </si>
  <si>
    <t>DPT_1_3</t>
  </si>
  <si>
    <t>ข้อมูลอาคารและการใช้ประโยชน์อาคารจากการสำรวจภาคสนาม (Building-use data from field surveys)</t>
  </si>
  <si>
    <t>ความถี่ในการอัปเดตขึ้นกับโครงการ ไม่ใช่ของ อปท.</t>
  </si>
  <si>
    <t>DPT_1_4</t>
  </si>
  <si>
    <t>แผนระบบระบายน้ำลุ่มน้ำ (River-basin drainage planning data)</t>
  </si>
  <si>
    <t>Water (น้ำ); Human Settlement (ตั้งถิ่นฐาน)</t>
  </si>
  <si>
    <t>ขาดข้อมูล terrain และโครงข่ายระบายน้ำที่ละเอียดพอสำหรับ flood model</t>
  </si>
  <si>
    <t>DPT_1_5</t>
  </si>
  <si>
    <t>แผนที่ความเสี่ยงและแนวทางผังเมืองยืดหยุ่นจากโครงการ Urban-Act (Risk maps &amp; resilient urban planning from Urban-Act project)</t>
  </si>
  <si>
    <t>ระดับเมือง (เชียงใหม่ ภูเก็ต)</t>
  </si>
  <si>
    <t>นำร่องเฉพาะบางพื้นที่ ยังไม่ครอบคลุมทั่วประเทศ</t>
  </si>
  <si>
    <t>ความร่วมมือกับ GIZ และมหาวิทยาลัย</t>
  </si>
  <si>
    <t>DPT_2_1</t>
  </si>
  <si>
    <t>พื้นที่เมือง</t>
  </si>
  <si>
    <t>อาจมาจาก: กรมโยธาธิการและผังเมือง / กรมพัฒนาที่ดิน (ขอบเขตพื้นที่เมือง/การใช้ที่ดิน); สภาพัฒน์ฯ (ข้อมูลประชากร/เมือง)</t>
  </si>
  <si>
    <t>DPT_2_2</t>
  </si>
  <si>
    <t>โครงสร้างพื้นฐานการระบายน้ำ</t>
  </si>
  <si>
    <t>อาจมาจาก: กรมโยธาธิการและผังเมือง / กรุงเทพมหานคร (โครงสร้างการระบายน้ำ)</t>
  </si>
  <si>
    <t>DPT_2_3</t>
  </si>
  <si>
    <t>สัดส่วนของระบบป้องกันน้ำท่วมของพื้นที่เมือง</t>
  </si>
  <si>
    <t>อาจมาจาก: กรมโยธาธิการและผังเมือง (ระบบป้องกันน้ำท่วมเขตเมือง)</t>
  </si>
  <si>
    <t>DPT_2_4</t>
  </si>
  <si>
    <t>สัดส่วนของจำนวนของระบบป้องกันน้ำท่วมของพื้นที่เมือง (เทศบาล) ในพื้นที่ต่อจำนวนพื้นที่เมืองทั้งหมด</t>
  </si>
  <si>
    <t>อาจมาจาก: กรมโยธาธิการและผังเมือง (ระบบป้องกันน้ำท่วมเขตเมือง/เทศบาล)</t>
  </si>
  <si>
    <t>BMA_1_1</t>
  </si>
  <si>
    <t>ข้อมูลปริมาณน้ำฝนจากสถานีตรวจวัดของ กทม. (Rainfall measurements from BMA stations)</t>
  </si>
  <si>
    <t>Flood (อุทกภัย); Storm (พายุ)</t>
  </si>
  <si>
    <t>สถานีตรวจวัดของ กทม.</t>
  </si>
  <si>
    <t>API / Web Service; CSV</t>
  </si>
  <si>
    <t>https://weather.bangkok.go.th</t>
  </si>
  <si>
    <t>ใช้ตัดสินใจปฏิบัติการระบายน้ำ</t>
  </si>
  <si>
    <t>BMA_1_2</t>
  </si>
  <si>
    <t>ข้อมูลภาพเรดาร์ตรวจฝน (Rainfall radar data)</t>
  </si>
  <si>
    <t>mm/hr</t>
  </si>
  <si>
    <t>Image; API / Web Service</t>
  </si>
  <si>
    <t>พยากรณ์สั้น 1-3 ชม. ยังไม่แม่นยำสำหรับ rain bomb เฉพาะจุด</t>
  </si>
  <si>
    <t>BMA_2_1</t>
  </si>
  <si>
    <t>ข้อมูลระดับน้ำในคลอง (Canal water levels)</t>
  </si>
  <si>
    <t>m</t>
  </si>
  <si>
    <t>คลอง/ประตูระบายน้ำ</t>
  </si>
  <si>
    <t>https://data.bangkok.go.th/th/</t>
  </si>
  <si>
    <t>BMA_2_2</t>
  </si>
  <si>
    <t>ข้อมูลตรวจวัดน้ำท่วมถนน (Road-flood monitoring data)</t>
  </si>
  <si>
    <t>จุดตรวจวัด</t>
  </si>
  <si>
    <t>BMA_2_3</t>
  </si>
  <si>
    <t>ฐานข้อมูลทรัพย์สินระบบระบายน้ำ ท่อ คลอง อุโมงค์ สถานีสูบน้ำ ประตูระบายน้ำ (Drainage system asset inventory)</t>
  </si>
  <si>
    <t>Human Settlement (ตั้งถิ่นฐาน); Water (น้ำ)</t>
  </si>
  <si>
    <t>km; จำนวนแห่ง</t>
  </si>
  <si>
    <t>ทั่วพื้นที่ กทม.</t>
  </si>
  <si>
    <t>Shapefile; Database</t>
  </si>
  <si>
    <t>ท่อระบายน้ำ ~6,800 km; คลอง ~2,700 km; อุโมงค์ระบายน้ำ 4 แห่ง</t>
  </si>
  <si>
    <t>BMA_2_4</t>
  </si>
  <si>
    <t>ข้อมูลห้องและจุดคลายร้อนของ กทม. (Cooling rooms / cooling points)</t>
  </si>
  <si>
    <t>Public Health (สาธารณสุข); Human Settlement (ตั้งถิ่นฐาน)</t>
  </si>
  <si>
    <t>2569 (2026)</t>
  </si>
  <si>
    <t>Database; PDF Report</t>
  </si>
  <si>
    <t>255 ห้องคลายร้อน; ตามแผนจัดการความร้อน 2569</t>
  </si>
  <si>
    <t>BMA_3_1</t>
  </si>
  <si>
    <t>ข้อมูลคุณภาพอากาศและดัชนีความร้อนของ กทม. (Air quality monitoring &amp; Heat Index)</t>
  </si>
  <si>
    <t>Heat (คลื่นความร้อน); Air Quality / Haze (คุณภาพอากาศ / หมอกควัน)</t>
  </si>
  <si>
    <t>°C; Heat Index; AQI</t>
  </si>
  <si>
    <t>สถานีตรวจวัด</t>
  </si>
  <si>
    <t>https://airbkk.com</t>
  </si>
  <si>
    <t>ขาดข้อมูล urban heat island ระดับถนน/ย่าน</t>
  </si>
  <si>
    <t>UDDC_1_1</t>
  </si>
  <si>
    <t>แบบจำลองน้ำท่วมรายละเอียดสูงด้วย DEM 1 เมตร (High-resolution flood inundation model with 1m DEM)</t>
  </si>
  <si>
    <t>m (depth)</t>
  </si>
  <si>
    <t>1 m (Grid)</t>
  </si>
  <si>
    <t>GeoTIFF / Raster; Shapefile</t>
  </si>
  <si>
    <t>เฉพาะพื้นที่นำร่อง เชียงราย และสุราษฎร์ธานี</t>
  </si>
  <si>
    <t>โครงการ URBAN (IKI-Germany 2024-2028) ร่วมกับ ADPC, TMD, DDPM</t>
  </si>
  <si>
    <t>SSP3; SSP5</t>
  </si>
  <si>
    <t>UDDC_1_2</t>
  </si>
  <si>
    <t>ข้อมูลภูมิประเทศจากภาพถ่ายโดรน DSM/DTM ความละเอียด 20 ซม. (20cm drone-captured DSM/DTM)</t>
  </si>
  <si>
    <t>Natural Resources (ทรัพยากรธรรมชาติ); Human Settlement (ตั้งถิ่นฐาน)</t>
  </si>
  <si>
    <t>0.2 m (Grid)</t>
  </si>
  <si>
    <t>เก็บเฉพาะพื้นที่ออกแบบ NbS รายโครงการ</t>
  </si>
  <si>
    <t>UDDC_1_3</t>
  </si>
  <si>
    <t>การประเมินความเปราะบางและความเสี่ยงเชิงพื้นที่ระดับเมือง (Local climate risk/vulnerability assessment)</t>
  </si>
  <si>
    <t>Flood (อุทกภัย); Landslide (ดินถล่ม); Sea-level Rise (ระดับน้ำทะเลสูงขึ้น); Drought (ภัยแล้ง)</t>
  </si>
  <si>
    <t>ระดับเมือง</t>
  </si>
  <si>
    <t>การ downscale ภัยแล้งทำได้ยาก เพราะขาดข้อมูล baseline น้ำใต้ดิน</t>
  </si>
  <si>
    <t>ใช้แนวคิด Double Vulnerability ผสานข้อมูลกายภาพและเศรษฐกิจสังคม</t>
  </si>
  <si>
    <t>UDDC_1_4</t>
  </si>
  <si>
    <t>แผนยุทธศาสตร์เชิงพื้นที่และแผนจัดการพื้นที่ชุ่มน้ำท้องถิ่น (Spatial strategic plans &amp; local wetland management plans)</t>
  </si>
  <si>
    <t>Natural Resources (ทรัพยากรธรรมชาติ); Water (น้ำ)</t>
  </si>
  <si>
    <t>ระดับเมือง/ตำบล</t>
  </si>
  <si>
    <t>UDDC_1_5</t>
  </si>
  <si>
    <t>ผลแบบจำลอง Urban InVest ประเมินศักยภาพระบบนิเวศเมือง (Urban InVest model outputs)</t>
  </si>
  <si>
    <t>ใช้บริการแบบจำลองภายนอก (Urban InVest)</t>
  </si>
  <si>
    <t>FTI_1_1</t>
  </si>
  <si>
    <t>ข้อมูลความต้องการใช้น้ำของภาคอุตสาหกรรม (Industrial water demand data)</t>
  </si>
  <si>
    <t>Water (น้ำ); Cross-cutting (หลายสาขา)</t>
  </si>
  <si>
    <t>ลบ.ม.</t>
  </si>
  <si>
    <t>ใช้ใน War Room บริหารจัดการน้ำ EEC</t>
  </si>
  <si>
    <t>FTI_1_2</t>
  </si>
  <si>
    <t>การประเมินความเสี่ยงการขาดแคลนน้ำระยะ 20 ปี (20-year water scarcity risk assessment)</t>
  </si>
  <si>
    <t>ทำงานร่วมกับ 9 หน่วยงานน้ำของชาติ</t>
  </si>
  <si>
    <t>NESDC_1_1</t>
  </si>
  <si>
    <t>การประเมินความเสี่ยงด้านสภาพภูมิอากาศของโครงการลงทุนโครงสร้างพื้นฐาน (Infrastructure climate risk evaluation)</t>
  </si>
  <si>
    <t>ใช้สมมติฐานคงที่ (Discount rate 7%) เพราะขาดแบบจำลองความเสี่ยงเชิงปริมาณ</t>
  </si>
  <si>
    <t>ใช้ประเมินโครงการกู้เงินขนาดใหญ่ เช่น โครงการเจ้าพระยา</t>
  </si>
  <si>
    <t>NESDC_2_1</t>
  </si>
  <si>
    <t>สัดส่วนของกลุ่มเปราะบาง (จำนวนผู้สูงอายุ &gt; 60 ปี และเด็กอายุ 0-4 ปี)</t>
  </si>
  <si>
    <t>ระบุชัดเจน: สภาพัฒน์ฯ - ข้อมูลกลุ่มเปราะบาง (ผู้สูงอายุ + เด็ก) ระดับจังหวัด</t>
  </si>
  <si>
    <t>NESDC_2_2</t>
  </si>
  <si>
    <t>จำนวนประชากรจากการทะเบียน (ทะเบียนราษฎร์เท่านั้น)</t>
  </si>
  <si>
    <t>อาจมาจาก: สำนักงานสภาพัฒนาการเศรษฐกิจและสังคมแห่งชาติ (สภาพัฒน์ฯ) - ฐานข้อมูลคาดประมาณประชากร; กรมการปกครอง</t>
  </si>
  <si>
    <t>NESDC_2_3</t>
  </si>
  <si>
    <t>จำนวนผู้สูงอายุ (&gt; 60 ปี)</t>
  </si>
  <si>
    <t>อาจมาจาก: สภาพัฒน์ฯ (ข้อมูลกลุ่มเปราะบางระดับจังหวัด); กรมการปกครอง</t>
  </si>
  <si>
    <t>NESDC_2_4</t>
  </si>
  <si>
    <t>จำนวนเด็กอายุ 0-17 ปี</t>
  </si>
  <si>
    <t>อาจมาจาก: สภาพัฒน์ฯ / กรมการปกครอง (กลุ่มเปราะบางเด็ก)</t>
  </si>
  <si>
    <t>NESDC_2_5</t>
  </si>
  <si>
    <t>ดัชนีความยากจนหลายมิติ (MPI)</t>
  </si>
  <si>
    <t>อาจมาจาก: สภาพัฒน์ฯ (ดัชนีความยากจนหลายมิติ MPI)</t>
  </si>
  <si>
    <t>NESDC_2_6</t>
  </si>
  <si>
    <t>จำนวนคนยากจน</t>
  </si>
  <si>
    <t>อาจมาจาก: สภาพัฒน์ฯ (ข้อมูลความยากจน)</t>
  </si>
  <si>
    <t>NESDC_2_7</t>
  </si>
  <si>
    <t>สัมประสิทธิ์ความไม่เสมอภาค</t>
  </si>
  <si>
    <t>Human Settlement — ตั้งถิ่นฐาน; Public Health — สาธารณสุข</t>
  </si>
  <si>
    <t>อาจมาจาก: สภาพัฒน์ฯ (สัมประสิทธิ์ Gini/ความไม่เสมอภาค)</t>
  </si>
  <si>
    <t>NESDC_2_8</t>
  </si>
  <si>
    <t>ดัชนีการพัฒนามนุษย์</t>
  </si>
  <si>
    <t>อาจมาจาก: สภาพัฒน์ฯ / UNDP Thailand (ดัชนีการพัฒนามนุษย์ HDI)</t>
  </si>
  <si>
    <t>NESDC_2_9</t>
  </si>
  <si>
    <t>ผลิตภัณฑ์จังหวัดต่อหัว (บาท)</t>
  </si>
  <si>
    <t>อาจมาจาก: สภาพัฒน์ฯ (ข้อมูล GPP/GPP per capita)</t>
  </si>
  <si>
    <t>NESDC_2_10</t>
  </si>
  <si>
    <t>จำนวนประชากรรวม (ทะเบียนราษฎร์ + ประชากรแฝง)</t>
  </si>
  <si>
    <t>อาจมาจาก: สภาพัฒน์ฯ / UNDP Thailand (Gender Development Index)</t>
  </si>
  <si>
    <t>NESDC_2_11</t>
  </si>
  <si>
    <t>จำนวนประชากรในพื้นที่ (ทะเบียนราษฎร์ + ประชากรแฝง)</t>
  </si>
  <si>
    <t>อาจมาจาก: สภาพัฒน์ฯ (ฐานคาดประมาณประชากร) + กรมการปกครอง (ทะเบียนราษฎร์) + ประชากรแฝง</t>
  </si>
  <si>
    <t>NESDC_2_12</t>
  </si>
  <si>
    <t>จำนวนประชากรในพื้นที่ (ทั้งที่อยู่ในทะเบียนราษฎร์และประชากรแฝง)</t>
  </si>
  <si>
    <t>อาจมาจาก: สภาพัฒน์ฯ + กรมการปกครอง (ประชากรในพื้นที่ + ประชากรแฝง)</t>
  </si>
  <si>
    <t>NESDC_2_13</t>
  </si>
  <si>
    <t>จำนวนผู้สูงอายุพึ่งพิง</t>
  </si>
  <si>
    <t>อาจมาจาก: สภาพัฒน์ฯ / กรมกิจการผู้สูงอายุ (ผู้สูงอายุพึ่งพิง)</t>
  </si>
  <si>
    <t>MSDHS_1_1</t>
  </si>
  <si>
    <t>ทะเบียนกลุ่มเปราะบางและสวัสดิการของ พม. (Vulnerable group welfare registry)</t>
  </si>
  <si>
    <t>Public Health (สาธารณสุข); Cross-cutting (หลายสาขา)</t>
  </si>
  <si>
    <t>ระดับบุคคล/ครัวเรือน เผยแพร่ระดับตำบล</t>
  </si>
  <si>
    <t>ขาด metadata และ data dictionary; ขาดทีมข้อมูล/IT เฉพาะทาง</t>
  </si>
  <si>
    <t>เชื่อมข้อมูลผ่านเลข 13 หลักของ มท.</t>
  </si>
  <si>
    <t>MSDHS_1_2</t>
  </si>
  <si>
    <t>ข้อมูลผู้ผ่านการอบรม "ครู ก." เตรียมพร้อมรับภัยพิบัติ (Teacher Kor disaster readiness training data)</t>
  </si>
  <si>
    <t>ปี 2568 อบรมแล้ว 43,000 คน; ปี 2569 ขยายไปยังกลุ่มเปราะบาง 200 คน/จังหวัด</t>
  </si>
  <si>
    <t>MSDHS_1_3</t>
  </si>
  <si>
    <t>แผนที่ความเสี่ยงพื้นที่ทับซ้อนกลุ่มเปราะบางจากความร่วมมือธนาคารโลก (World Bank vulnerability risk maps - Chiang Mai, Korat, Pattani)</t>
  </si>
  <si>
    <t>Flood (อุทกภัย); Drought (ภัยแล้ง); Heat (คลื่นความร้อน); Landslide (ดินถล่ม)</t>
  </si>
  <si>
    <t>2024-2025</t>
  </si>
  <si>
    <t>3 จังหวัด</t>
  </si>
  <si>
    <t>พื้นที่นำร่อง 3 จังหวัด</t>
  </si>
  <si>
    <t>ความร่วมมือกับธนาคารโลก และ จุฬาฯ Demography</t>
  </si>
  <si>
    <t>MSDHS_2_1</t>
  </si>
  <si>
    <t>จำนวนชุมชนแออัด</t>
  </si>
  <si>
    <t>ชุมชน</t>
  </si>
  <si>
    <t>อาจมาจาก: กรมพัฒนาสังคมและสวัสดิการ / สภาพัฒน์ฯ; การเคหะแห่งชาติ</t>
  </si>
  <si>
    <t>MSDHS_2_2</t>
  </si>
  <si>
    <t>จำนวนผู้พิการหรือผู้ทุกพลภาพ</t>
  </si>
  <si>
    <t>อาจมาจาก: กรมส่งเสริมและพัฒนาคุณภาพชีวิตคนพิการ / กระทรวงการพัฒนาสังคมฯ; สภาพัฒน์ฯ (กลุ่มเปราะบาง)</t>
  </si>
  <si>
    <t>OTP_1_1</t>
  </si>
  <si>
    <t>ผลการประเมินความเสี่ยงโครงสร้างพื้นฐานคมนาคมต่อภัยพิบัติ (Climate Change Adaptation pilot for transport infrastructure)</t>
  </si>
  <si>
    <t>Flood (อุทกภัย); Landslide (ดินถล่ม); Sea-level Rise (ระดับน้ำทะเลสูงขึ้น)</t>
  </si>
  <si>
    <t>50-100 ปี</t>
  </si>
  <si>
    <t>ระดับ km marker (highway) และเสาไฟ (railway)</t>
  </si>
  <si>
    <t>ไม่รวมถนนของ อปท. และ กทม. (ยกเว้นถนนสายหลัก); ไม่รวมพายุหมุน</t>
  </si>
  <si>
    <t>คาดเสร็จต้นปี 2570</t>
  </si>
  <si>
    <t>OTP_1_3</t>
  </si>
  <si>
    <t>ข้อมูล Origin-Destination และเส้นทางการขนส่ง (Origin-Destination &amp; transport routes)</t>
  </si>
  <si>
    <t>10 ปี</t>
  </si>
  <si>
    <t>เที่ยว/วัน; คน</t>
  </si>
  <si>
    <t>OTP_1_4</t>
  </si>
  <si>
    <t>แบบจำลองอุทกวิทยาความละเอียดสูงเฉพาะเส้นทางคมนาคม (High-resolution hydrological model along transport routes)</t>
  </si>
  <si>
    <t>ระดับ km marker</t>
  </si>
  <si>
    <t>จ้างที่ปรึกษาจัดทำ ไม่ทำซ้ำหลังโครงการสิ้นสุด</t>
  </si>
  <si>
    <t>ใช้ข้อมูลฝน 50-100 ปี และข้อมูลน้ำ 10 ปีย้อนหลัง</t>
  </si>
  <si>
    <t>DWR_1_1</t>
  </si>
  <si>
    <t>สถานีเตือนภัยน้ำท่วมล่วงหน้าของกรมทรัพยากรน้ำ</t>
  </si>
  <si>
    <t>ระบุชัดเจน: กรมทรัพยากรน้ำ - สถานีเตือนภัยน้ำท่วมล่วงหน้า (Early Warning System)</t>
  </si>
  <si>
    <t>DWR_1_2</t>
  </si>
  <si>
    <t>จำนวนสถานีเตือนภัยน้ำท่วม</t>
  </si>
  <si>
    <t>ระบุชัดเจน: กรมทรัพยากรน้ำ - สถานีเตือนภัยน้ำท่วมล่วงหน้า</t>
  </si>
  <si>
    <t>DWR_1_3</t>
  </si>
  <si>
    <t>ปริมาณน้ำท่าเฉลี่ยรายปี</t>
  </si>
  <si>
    <t>Agriculture — เกษตร; Tourism — ท่องเที่ยว; Water — น้ำ</t>
  </si>
  <si>
    <t>ล้าน ลบ.ม./ปี</t>
  </si>
  <si>
    <t>อาจมาจาก: กรมทรัพยากรน้ำ / สสน. (ปริมาณน้ำท่ารายปี)</t>
  </si>
  <si>
    <t>DWR_1_4</t>
  </si>
  <si>
    <t>โครงการพัฒนาแหล่งน้ำ</t>
  </si>
  <si>
    <t>อาจมาจาก: กรมทรัพยากรน้ำ / กรมชลประทาน (โครงการพัฒนาแหล่งน้ำ)</t>
  </si>
  <si>
    <t>DWR_1_5</t>
  </si>
  <si>
    <t>โครงการปรับตัวด้านการจัดการน้ำของหน่วยงานรัฐ</t>
  </si>
  <si>
    <t>อาจมาจาก: กรมทรัพยากรน้ำ / กรมชลประทาน / สสน. (โครงการปรับตัวด้านน้ำของรัฐ)</t>
  </si>
  <si>
    <t>DWR_1_6</t>
  </si>
  <si>
    <t>สัดส่วนของจำนวนของระบบแจ้งเตือนภัยน้ำท่วมและดินถล่มของพื้นที่ในพื้นที่ต่อจำนวนพื้นที่เสี่ยงน้ำท่วมและดินถล่ม</t>
  </si>
  <si>
    <t>อาจมาจาก: กรมทรัพยากรน้ำ / ปภ. (ระบบแจ้งเตือนภัยน้ำท่วม-ดินถล่ม)</t>
  </si>
  <si>
    <t>DWR_1_7</t>
  </si>
  <si>
    <t>จำนวนแหล่งน้ำผิวดิน (ขนาดใหญ่ กลาง และเล็ก)</t>
  </si>
  <si>
    <t>อาจมาจาก: กรมทรัพยากรน้ำ / สสน. (จำนวนแหล่งน้ำผิวดิน)</t>
  </si>
  <si>
    <t>DWR_1_8</t>
  </si>
  <si>
    <t>สัดส่วนของพื้นที่ผิวน้ำของแหล่งน้ำต่อพื้นที่ทั้งหมด</t>
  </si>
  <si>
    <t>อาจมาจาก: กรมทรัพยากรน้ำ / สสน. (สัดส่วนพื้นที่ผิวน้ำ)</t>
  </si>
  <si>
    <t>DWR_1_9</t>
  </si>
  <si>
    <t>แหล่งน้ำธรรมชาติตื้นเขิน</t>
  </si>
  <si>
    <t>อาจมาจาก: กรมทรัพยากรน้ำ / สสน. (แหล่งน้ำธรรมชาติ)</t>
  </si>
  <si>
    <t>DWR_1_10</t>
  </si>
  <si>
    <t>จำนวนแหล่งน้ำผิวดิน (รวมทุกขนาด)</t>
  </si>
  <si>
    <t>MOPH_1_1</t>
  </si>
  <si>
    <t>จำนวนหน่วยบริการสังกัดกระทรวงสาธารณสุข</t>
  </si>
  <si>
    <t>ระบุชัดเจน: กระทรวงสาธารณสุข (สำนักงานปลัดกระทรวง สธ.) - จำนวนหน่วยบริการสุขภาพ</t>
  </si>
  <si>
    <t>MOPH_1_2</t>
  </si>
  <si>
    <t>จำนวนหน่วยบริการสังกัดสำนักงานปลัดกระทรวงสาธารณสุข จำแนกตามระดับของสถานพยาบาล</t>
  </si>
  <si>
    <t>ระบุชัดเจน: กระทรวงสาธารณสุข (สำนักงานปลัดกระทรวง สธ.) - หน่วยบริการสุขภาพจำแนกตามระดับ</t>
  </si>
  <si>
    <t>MOPH_1_3</t>
  </si>
  <si>
    <t>จำนวนผู้ป่วยโรคไม่ติดต่อ</t>
  </si>
  <si>
    <t>อาจมาจาก: กระทรวงสาธารณสุข (สำนักงานปลัดกระทรวง สธ.); กรมอนามัย</t>
  </si>
  <si>
    <t>MOPH_1_4</t>
  </si>
  <si>
    <t>จำนวนบุคลากรทางการแพทย์ต่อประชากร</t>
  </si>
  <si>
    <t>อาจมาจาก: กระทรวงสาธารณสุข (สำนักงานปลัดกระทรวง สธ.) - บุคลากรทางการแพทย์</t>
  </si>
  <si>
    <t>MOPH_1_5</t>
  </si>
  <si>
    <t>สัดส่วนของอาสาสมัครสาธารณสุขประจำหมู่บ้าน</t>
  </si>
  <si>
    <t>อาจมาจาก: กรมสนับสนุนบริการสุขภาพ / กระทรวงสาธารณสุข (อาสาสมัครสาธารณสุขประจำหมู่บ้าน อสม.)</t>
  </si>
  <si>
    <t>MOPH_1_6</t>
  </si>
  <si>
    <t>อัตราการใช้บริการผู้ป่วยนอก (ครั้งต่อคนต่อปี)</t>
  </si>
  <si>
    <t>อาจมาจาก: กระทรวงสาธารณสุข (สำนักงานปลัดกระทรวง สธ.) - อัตราการใช้บริการผู้ป่วยนอก</t>
  </si>
  <si>
    <t>ONEP_1_1</t>
  </si>
  <si>
    <t>จำนวนพื้นที่ชุมน้ำที่มีการประกาศเป็นพื้นที่อนุรักษ์รายจังหวัด</t>
  </si>
  <si>
    <t>ระบุชัดเจน: สำนักงานนโยบายและแผนทรัพยากรธรรมชาติและสิ่งแวดล้อม (สผ.) - พื้นที่ชุ่มน้ำที่ประกาศอนุรักษ์</t>
  </si>
  <si>
    <t>ONEP_1_2</t>
  </si>
  <si>
    <t>จำนวนพื้นที่ชุมน้ำที่มีความสำคัญระดับชาติและนานาชาติรายจังหวัด</t>
  </si>
  <si>
    <t>อาจมาจาก: สำนักงานนโยบายและแผนทรัพยากรธรรมชาติและสิ่งแวดล้อม (สผ.) - พื้นที่ชุ่มน้ำสำคัญ</t>
  </si>
  <si>
    <t>DBD_1_1</t>
  </si>
  <si>
    <t>สถานประกอบการบริการทั้งหมด</t>
  </si>
  <si>
    <t>อาจมาจาก: กรมพัฒนาธุรกิจการค้า / สำนักงานสถิติแห่งชาติ (สถานประกอบการบริการ)</t>
  </si>
  <si>
    <t>DDC_1_1</t>
  </si>
  <si>
    <t>อัตราป่วยด้วยโรคไข้เลือดออกต่อประชากรแสนคน</t>
  </si>
  <si>
    <t>อาจมาจาก: กรมควบคุมโรค / กระทรวงสาธารณสุข (อัตราป่วยโรคไข้เลือดออก)</t>
  </si>
  <si>
    <t>DGR_1_1</t>
  </si>
  <si>
    <t>ปริมาณน้ำบาดาลสูบ</t>
  </si>
  <si>
    <t>อาจมาจาก: กรมทรัพยากรน้ำบาดาล</t>
  </si>
  <si>
    <t>DGR_1_2</t>
  </si>
  <si>
    <t>ปริมาณน้ำบาดาลที่สามารถนำมาใช้ได้รายปี</t>
  </si>
  <si>
    <t>DGR_1_3</t>
  </si>
  <si>
    <t>ปริมาณน้ำบาดาลที่พัฒนามาใช้</t>
  </si>
  <si>
    <t>Agriculture — เกษตร; Human Settlement — ตั้งถิ่นฐาน; Water — น้ำ</t>
  </si>
  <si>
    <t>DIW_1_1</t>
  </si>
  <si>
    <t>จำนวนโรงงานอุตสาหกรรม</t>
  </si>
  <si>
    <t>อาจมาจาก: กรมโรงงานอุตสาหกรรม / การนิคมอุตสาหกรรมแห่งประเทศไทย (กนอ.)</t>
  </si>
  <si>
    <t>DIW_1_2</t>
  </si>
  <si>
    <t>สถานประกอบการผลิตทั้งหมด</t>
  </si>
  <si>
    <t>อาจมาจาก: กรมโรงงานอุตสาหกรรม / กระทรวงอุตสาหกรรม / สำนักงานสถิติแห่งชาติ</t>
  </si>
  <si>
    <t>DNP_1_1</t>
  </si>
  <si>
    <t>สัดส่วนพื้นที่ป่าอนุรักษ์ต่อพื้นที่จังหวัด</t>
  </si>
  <si>
    <t>อาจมาจาก: กรมอุทยานแห่งชาติ สัตว์ป่า และพันธุ์พืช (พื้นที่ป่าอนุรักษ์)</t>
  </si>
  <si>
    <t>DOAE_1_1</t>
  </si>
  <si>
    <t>จำนวนเกษตรกรที่ขึ้นทะเบียน</t>
  </si>
  <si>
    <t>อาจมาจาก: กรมส่งเสริมการเกษตร / สำนักงานเศรษฐกิจการเกษตร (เกษตรกรขึ้นทะเบียน)</t>
  </si>
  <si>
    <t>EGAT_1_1</t>
  </si>
  <si>
    <t>โครงสร้างพื้นฐานด้านไฟฟ้า</t>
  </si>
  <si>
    <t>อาจมาจาก: การไฟฟ้าฝ่ายผลิต / การไฟฟ้าส่วนภูมิภาค / การไฟฟ้านครหลวง</t>
  </si>
  <si>
    <t>OAE_1_1</t>
  </si>
  <si>
    <t>สัดส่วนพื้นที่การเกษตรต่อพื้นที่ทั้งหมด</t>
  </si>
  <si>
    <t>อาจมาจาก: สำนักงานเศรษฐกิจการเกษตร / กรมพัฒนาที่ดิน (สัดส่วนพื้นที่เกษตร)</t>
  </si>
  <si>
    <t>OAE_1_2</t>
  </si>
  <si>
    <t>พื้นที่เพาะปลูกนอกเขตชลประทาน</t>
  </si>
  <si>
    <t>ไร่</t>
  </si>
  <si>
    <t>อาจมาจาก: สำนักงานเศรษฐกิจการเกษตร / กรมชลประทาน (พื้นที่เพาะปลูกนอกเขตชลประทาน)</t>
  </si>
  <si>
    <t>OAE_1_3</t>
  </si>
  <si>
    <t>พื้นที่การเกษตร</t>
  </si>
  <si>
    <t>อาจมาจาก: สำนักงานเศรษฐกิจการเกษตร / กรมพัฒนาที่ดิน (พื้นที่การเกษตร)</t>
  </si>
  <si>
    <t>OAE_1_4</t>
  </si>
  <si>
    <t>จำนวนครัวเรือนเกษตรกรรม</t>
  </si>
  <si>
    <t>อาจมาจาก: สำนักงานเศรษฐกิจการเกษตร / สำนักงานสถิติแห่งชาติ (ครัวเรือนเกษตร)</t>
  </si>
  <si>
    <t>OAE_1_5</t>
  </si>
  <si>
    <t>จำนวนครัวเรือนเกษตรกร</t>
  </si>
  <si>
    <t>อาจมาจาก: สำนักงานเศรษฐกิจการเกษตร / กรมส่งเสริมการเกษตร (ครัวเรือนเกษตร)</t>
  </si>
  <si>
    <t>RFD_1_1</t>
  </si>
  <si>
    <t>พื้นที่ที่มีสภาพป่า</t>
  </si>
  <si>
    <t>ตร.ม.</t>
  </si>
  <si>
    <t>อาจมาจาก: กรมป่าไม้ / กรมอุทยานแห่งชาติ สัตว์ป่า และพันธุ์พืช (พื้นที่ป่า)</t>
  </si>
  <si>
    <t>RFD_1_2</t>
  </si>
  <si>
    <t>อัตราการสูญเสียพื้นที่ป่าในระยะเวลา 5 ปี รายจังหวัด</t>
  </si>
  <si>
    <t>อาจมาจาก: กรมป่าไม้ / GISTDA (อัตราการสูญเสียพื้นที่ป่า)</t>
  </si>
  <si>
    <t>RFD_1_3</t>
  </si>
  <si>
    <t>สัดส่วนพื้นที่ป่าชุมชนต่อพื้นที่จังหวัด หรือจำนวนองค์กรป่าชุมชนรายจังหวัด</t>
  </si>
  <si>
    <t>อาจมาจาก: กรมป่าไม้ (ป่าชุมชน/องค์กรป่าชุมชน)</t>
  </si>
  <si>
    <t>RID_1_2</t>
  </si>
  <si>
    <t>จำนวนสถานีวัดระดับน้ำ</t>
  </si>
  <si>
    <t>อาจมาจาก: กรมชลประทาน / กรมทรัพยากรน้ำ / สสน. (สถานีวัดระดับน้ำ)</t>
  </si>
  <si>
    <t>RID_1_11</t>
  </si>
  <si>
    <t>ปริมาณน้ำเก็บกัก (รวมรายปี)</t>
  </si>
  <si>
    <t>อาจมาจาก: กรมชลประทาน / กรมทรัพยากรน้ำ (ปริมาณน้ำเก็บกัก)</t>
  </si>
  <si>
    <t>RID_1_1</t>
  </si>
  <si>
    <t>ปริมาณน้ำเก็บกักรายปี (รวมทุกขนาด)</t>
  </si>
  <si>
    <t>Agriculture — เกษตร; Human Settlement — ตั้งถิ่นฐาน</t>
  </si>
  <si>
    <t>RID_1_4</t>
  </si>
  <si>
    <t>ปริมาณน้ำเก็บกักรายปี (แหล่งน้ำขนาดใหญ่ กลาง และเล็ก)</t>
  </si>
  <si>
    <t>อาจมาจาก: กรมชลประทาน / กรมทรัพยากรน้ำ (ปริมาณน้ำเก็บกักรายปี)</t>
  </si>
  <si>
    <t>RID_1_6</t>
  </si>
  <si>
    <t>ปริมาณน้ำหลากสูงสุด</t>
  </si>
  <si>
    <t>ลบ.ม./วินาที</t>
  </si>
  <si>
    <t>อาจมาจาก: กรมชลประทาน / สสน. (ปริมาณน้ำหลากสูงสุด)</t>
  </si>
  <si>
    <t>RID_1_10</t>
  </si>
  <si>
    <t>พื้นที่ชลประทาน</t>
  </si>
  <si>
    <t>อาจมาจาก: กรมชลประทาน (พื้นที่ชลประทาน)</t>
  </si>
  <si>
    <t>RID_1_8</t>
  </si>
  <si>
    <t>พื้นที่นอกเขตชลประทาน</t>
  </si>
  <si>
    <t>อาจมาจาก: กรมชลประทาน / กรมพัฒนาที่ดิน (พื้นที่นอกเขตชลประทาน)</t>
  </si>
  <si>
    <t>RID_1_9</t>
  </si>
  <si>
    <t>พื้นที่เพาะปลูกในเขตชลประทาน</t>
  </si>
  <si>
    <t>อาจมาจาก: กรมชลประทาน / สำนักงานเศรษฐกิจการเกษตร (พื้นที่เพาะปลูกในเขตชลประทาน)</t>
  </si>
  <si>
    <t>RID_1_7</t>
  </si>
  <si>
    <t>สัดส่วนของพื้นที่แก้มลิง (หรือพื้นที่กักเก็บน้ำ) ต่อพื้นที่ทั้งหมด</t>
  </si>
  <si>
    <t>อาจมาจาก: กรมชลประทาน / สสน. (พื้นที่แก้มลิง/พื้นที่กักเก็บน้ำ)</t>
  </si>
  <si>
    <t>RID_1_5</t>
  </si>
  <si>
    <t>สัดส่วนพื้นที่ชลประทานต่อพื้นที่เกษตรทั้งหมด</t>
  </si>
  <si>
    <t>อาจมาจาก: กรมชลประทาน / สำนักงานเศรษฐกิจการเกษตร (สัดส่วนพื้นที่ชลประทาน)</t>
  </si>
  <si>
    <t>RID_1_3</t>
  </si>
  <si>
    <t>สัดส่วนพื้นที่นอกเขตชลประทานต่อพื้นที่เกษตรทั้งหมด</t>
  </si>
  <si>
    <t>อาจมาจาก: กรมชลประทาน / สำนักงานเศรษฐกิจการเกษตร (พื้นที่นอกเขตชลประทาน)</t>
  </si>
  <si>
    <t>RTSD_1_1</t>
  </si>
  <si>
    <t>ระดับความสูงจากระดับน้ำทะเล</t>
  </si>
  <si>
    <t>เมตร รทก.</t>
  </si>
  <si>
    <t>อาจมาจาก: กรมแผนที่ทหาร / GISTDA (ระดับความสูงจากระดับน้ำทะเล DEM)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</si>
</sst>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"/>
    </font>
    <font>
      <b/>
      <sz val="16"/>
      <color rgb="FFFFFFFF"/>
      <name val="TH Sarabun New"/>
      <family val="2"/>
    </font>
    <font>
      <sz val="16"/>
      <color theme="1"/>
      <name val="THSarabunNew"/>
      <charset val="1"/>
    </font>
    <font>
      <b/>
      <sz val="16"/>
      <color rgb="FFFFFFFF"/>
      <name val="THSarabunNew"/>
      <charset val="1"/>
    </font>
    <font>
      <sz val="16"/>
      <name val="THSarabunNew"/>
      <charset val="1"/>
    </font>
    <font>
      <b/>
      <sz val="16"/>
      <color theme="1"/>
      <name val="THSarabunNew"/>
      <charset val="1"/>
    </font>
    <font>
      <sz val="16"/>
      <color rgb="FFFF0000"/>
      <name val="THSarabunNew"/>
      <charset val="1"/>
    </font>
    <font>
      <b/>
      <sz val="16"/>
      <color rgb="FF000000"/>
      <name val="THSarabunNew"/>
      <charset val="1"/>
    </font>
    <font>
      <sz val="16"/>
      <color rgb="FF000000"/>
      <name val="THSarabunNew"/>
      <charset val="1"/>
    </font>
    <font>
      <b/>
      <sz val="16"/>
      <name val="THSarabunNew"/>
      <charset val="1"/>
    </font>
    <font>
      <sz val="8"/>
      <color theme="1"/>
      <name val="Consolas"/>
      <family val="2"/>
      <charset val="1"/>
    </font>
    <font>
      <sz val="10"/>
      <color theme="1"/>
      <name val="Consolas"/>
      <family val="2"/>
      <charset val="1"/>
    </font>
    <font>
      <sz val="11"/>
      <color theme="1"/>
      <name val="Consolas"/>
      <family val="2"/>
      <charset val="1"/>
    </font>
    <font>
      <u/>
      <sz val="11"/>
      <color theme="10"/>
      <name val="Calibri"/>
      <family val="2"/>
      <charset val="1"/>
    </font>
    <font>
      <b/>
      <sz val="16"/>
      <color theme="0"/>
      <name val="THSarabunNew"/>
      <charset val="1"/>
    </font>
    <font>
      <b/>
      <sz val="16"/>
      <color theme="0"/>
      <name val="THSarabunNew"/>
    </font>
    <font>
      <sz val="16"/>
      <name val="THSarabunNew"/>
    </font>
    <font>
      <u/>
      <sz val="11"/>
      <color theme="1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FFFF"/>
      <name val="THSarabunNew"/>
    </font>
    <font>
      <sz val="16"/>
      <color rgb="FF000000"/>
      <name val="THSarabunNew"/>
    </font>
    <font>
      <sz val="8"/>
      <name val="Calibri"/>
      <family val="2"/>
      <charset val="1"/>
    </font>
    <font>
      <sz val="16"/>
      <color theme="1"/>
      <name val="THSarabunNew"/>
    </font>
    <font>
      <sz val="16"/>
      <color theme="0"/>
      <name val="THSarabunNew"/>
    </font>
    <font>
      <b/>
      <sz val="16"/>
      <color theme="1"/>
      <name val="TH Sarabun New"/>
      <family val="2"/>
    </font>
    <font>
      <b/>
      <sz val="20"/>
      <color theme="1"/>
      <name val="TH Sarabun New"/>
      <family val="2"/>
    </font>
    <font>
      <b/>
      <sz val="16"/>
      <color rgb="FF1F3864"/>
      <name val="TH Sarabun New"/>
      <family val="2"/>
    </font>
    <font>
      <sz val="16"/>
      <color theme="1"/>
      <name val="TH Sarabun New"/>
      <family val="2"/>
    </font>
    <font>
      <u/>
      <sz val="16"/>
      <color rgb="FF0563C1"/>
      <name val="TH Sarabun New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1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/>
      <diagonal/>
    </border>
  </borders>
  <cellStyleXfs count="2">
    <xf numFmtId="0" fontId="0" fillId="0" borderId="0"/>
    <xf numFmtId="0" fontId="13" fillId="0" borderId="0"/>
  </cellStyleXfs>
  <cellXfs count="59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vertical="top"/>
    </xf>
    <xf numFmtId="0" fontId="6" fillId="0" borderId="0" xfId="0" applyFont="1" applyAlignment="1">
      <alignment horizontal="left" vertical="top"/>
    </xf>
    <xf numFmtId="0" fontId="7" fillId="0" borderId="2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8" fillId="0" borderId="0" xfId="0" applyFont="1"/>
    <xf numFmtId="0" fontId="13" fillId="0" borderId="0" xfId="1"/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2" fillId="0" borderId="3" xfId="0" applyFont="1" applyBorder="1"/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5" fillId="3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17" fillId="0" borderId="0" xfId="1" applyFont="1"/>
    <xf numFmtId="0" fontId="17" fillId="0" borderId="0" xfId="1" applyFont="1" applyAlignment="1">
      <alignment horizontal="left"/>
    </xf>
    <xf numFmtId="0" fontId="14" fillId="2" borderId="0" xfId="0" applyFont="1" applyFill="1"/>
    <xf numFmtId="0" fontId="14" fillId="2" borderId="0" xfId="0" applyFont="1" applyFill="1" applyAlignment="1">
      <alignment horizontal="left" vertical="center"/>
    </xf>
    <xf numFmtId="0" fontId="5" fillId="0" borderId="0" xfId="0" applyFont="1"/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/>
    </xf>
    <xf numFmtId="0" fontId="19" fillId="5" borderId="0" xfId="0" applyFont="1" applyFill="1" applyAlignment="1">
      <alignment wrapText="1"/>
    </xf>
    <xf numFmtId="0" fontId="20" fillId="0" borderId="0" xfId="0" applyFont="1"/>
    <xf numFmtId="0" fontId="19" fillId="5" borderId="0" xfId="0" applyFont="1" applyFill="1" applyAlignment="1">
      <alignment horizontal="left" wrapText="1"/>
    </xf>
    <xf numFmtId="0" fontId="20" fillId="0" borderId="0" xfId="0" applyFont="1" applyAlignment="1">
      <alignment horizontal="left"/>
    </xf>
    <xf numFmtId="0" fontId="20" fillId="6" borderId="0" xfId="0" applyFont="1" applyFill="1" applyAlignment="1">
      <alignment horizontal="left" vertical="center"/>
    </xf>
    <xf numFmtId="0" fontId="16" fillId="0" borderId="0" xfId="0" applyFont="1" applyAlignment="1">
      <alignment vertical="top"/>
    </xf>
    <xf numFmtId="0" fontId="22" fillId="0" borderId="0" xfId="0" applyFont="1"/>
    <xf numFmtId="0" fontId="15" fillId="7" borderId="0" xfId="0" applyFont="1" applyFill="1" applyAlignment="1">
      <alignment wrapText="1"/>
    </xf>
    <xf numFmtId="0" fontId="15" fillId="7" borderId="0" xfId="0" applyFont="1" applyFill="1"/>
    <xf numFmtId="0" fontId="23" fillId="7" borderId="0" xfId="0" applyFont="1" applyFill="1"/>
    <xf numFmtId="0" fontId="24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1" fillId="7" borderId="0" xfId="0" applyFont="1" applyFill="1" applyAlignment="1">
      <alignment horizontal="center" vertical="center" wrapText="1"/>
    </xf>
    <xf numFmtId="0" fontId="2" fillId="7" borderId="0" xfId="0" applyFont="1" applyFill="1"/>
    <xf numFmtId="0" fontId="3" fillId="7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26" fillId="8" borderId="1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8E1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609480</xdr:colOff>
      <xdr:row>40</xdr:row>
      <xdr:rowOff>0</xdr:rowOff>
    </xdr:from>
    <xdr:to>
      <xdr:col>15</xdr:col>
      <xdr:colOff>519480</xdr:colOff>
      <xdr:row>44</xdr:row>
      <xdr:rowOff>127245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7120" y="23155200"/>
          <a:ext cx="7240320" cy="61948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779AFC-8F6C-445A-AC86-8D30450E63D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d57c3bd-86f8-4222-8991-52a0574a347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2.eppo.go.th/cdf/data_regional_central.html" TargetMode="External"/><Relationship Id="rId13" Type="http://schemas.openxmlformats.org/officeDocument/2006/relationships/hyperlink" Target="http://sql.ldd.go.th/ldddata/mapsoilH3.html" TargetMode="External"/><Relationship Id="rId18" Type="http://schemas.openxmlformats.org/officeDocument/2006/relationships/hyperlink" Target="http://www.rnd.tmd.go.th/heatindexanalysis/" TargetMode="External"/><Relationship Id="rId3" Type="http://schemas.openxmlformats.org/officeDocument/2006/relationships/hyperlink" Target="https://tcs.dmcr.go.th/dmcr/v2/router?page=dashboard" TargetMode="External"/><Relationship Id="rId21" Type="http://schemas.openxmlformats.org/officeDocument/2006/relationships/hyperlink" Target="https://data.tmd.go.th/dataset/index.php" TargetMode="External"/><Relationship Id="rId7" Type="http://schemas.openxmlformats.org/officeDocument/2006/relationships/hyperlink" Target="https://www.dopa.go.th/" TargetMode="External"/><Relationship Id="rId12" Type="http://schemas.openxmlformats.org/officeDocument/2006/relationships/hyperlink" Target="https://datacube.gistda.or.th/" TargetMode="External"/><Relationship Id="rId17" Type="http://schemas.openxmlformats.org/officeDocument/2006/relationships/hyperlink" Target="https://hpc.tmd.go.th/imgda" TargetMode="External"/><Relationship Id="rId2" Type="http://schemas.openxmlformats.org/officeDocument/2006/relationships/hyperlink" Target="https://ccic.dcce.go.th/riskarea" TargetMode="External"/><Relationship Id="rId16" Type="http://schemas.openxmlformats.org/officeDocument/2006/relationships/hyperlink" Target="https://www.railway.co.th/Home/Index" TargetMode="External"/><Relationship Id="rId20" Type="http://schemas.openxmlformats.org/officeDocument/2006/relationships/hyperlink" Target="https://www.tmd.go.th/climate/climateStat/TropicalCyclone" TargetMode="External"/><Relationship Id="rId1" Type="http://schemas.openxmlformats.org/officeDocument/2006/relationships/hyperlink" Target="https://clim-webbased.dcce.go.th/DataServices" TargetMode="External"/><Relationship Id="rId6" Type="http://schemas.openxmlformats.org/officeDocument/2006/relationships/hyperlink" Target="https://gdcatalog.go.th/dataset/gdpublish-debris_flood" TargetMode="External"/><Relationship Id="rId11" Type="http://schemas.openxmlformats.org/officeDocument/2006/relationships/hyperlink" Target="https://disaster.gistda.or.th/services/download" TargetMode="External"/><Relationship Id="rId5" Type="http://schemas.openxmlformats.org/officeDocument/2006/relationships/hyperlink" Target="https://thailandcoralbleaching.dmcr.go.th/th/home" TargetMode="External"/><Relationship Id="rId15" Type="http://schemas.openxmlformats.org/officeDocument/2006/relationships/hyperlink" Target="https://www.nso.go.th/nsoweb/nso/survey_detail/nj" TargetMode="External"/><Relationship Id="rId10" Type="http://schemas.openxmlformats.org/officeDocument/2006/relationships/hyperlink" Target="https://portal.marineportal.gistda.or.th/catalogue/" TargetMode="External"/><Relationship Id="rId19" Type="http://schemas.openxmlformats.org/officeDocument/2006/relationships/hyperlink" Target="https://www.tmd.go.th/storms" TargetMode="External"/><Relationship Id="rId4" Type="http://schemas.openxmlformats.org/officeDocument/2006/relationships/hyperlink" Target="https://marinemap.dmcr.go.th/" TargetMode="External"/><Relationship Id="rId9" Type="http://schemas.openxmlformats.org/officeDocument/2006/relationships/hyperlink" Target="https://api-gateway.gistda.or.th/" TargetMode="External"/><Relationship Id="rId14" Type="http://schemas.openxmlformats.org/officeDocument/2006/relationships/hyperlink" Target="http://hydro.md.go.th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api-gateway.gistda.or.th/gi-service/v1.2/disasters/burnt-area-latest" TargetMode="External"/><Relationship Id="rId13" Type="http://schemas.openxmlformats.org/officeDocument/2006/relationships/hyperlink" Target="https://api-gateway.gistda.or.th/gi-service/v2.2/agriculture/sugarcane-weekly-40m" TargetMode="External"/><Relationship Id="rId3" Type="http://schemas.openxmlformats.org/officeDocument/2006/relationships/hyperlink" Target="https://portal.marineportal.gistda.or.th/catalogue/" TargetMode="External"/><Relationship Id="rId7" Type="http://schemas.openxmlformats.org/officeDocument/2006/relationships/hyperlink" Target="https://api-gateway.gistda.or.th/gi-service/v1.2/disasters/burnt-area-latest-365" TargetMode="External"/><Relationship Id="rId12" Type="http://schemas.openxmlformats.org/officeDocument/2006/relationships/hyperlink" Target="https://api-gateway.gistda.or.th/gi-service/v2.2/agriculture/rubber-yearly-40m" TargetMode="External"/><Relationship Id="rId2" Type="http://schemas.openxmlformats.org/officeDocument/2006/relationships/hyperlink" Target="https://portal.marineportal.gistda.or.th/catalogue/" TargetMode="External"/><Relationship Id="rId16" Type="http://schemas.openxmlformats.org/officeDocument/2006/relationships/hyperlink" Target="https://api-gateway.gistda.or.th/gi-service/v2.2/agriculture/rice-weekly-40m" TargetMode="External"/><Relationship Id="rId1" Type="http://schemas.openxmlformats.org/officeDocument/2006/relationships/hyperlink" Target="https://datacube.gistda.or.th/" TargetMode="External"/><Relationship Id="rId6" Type="http://schemas.openxmlformats.org/officeDocument/2006/relationships/hyperlink" Target="https://disaster.gistda.or.th/services/download" TargetMode="External"/><Relationship Id="rId11" Type="http://schemas.openxmlformats.org/officeDocument/2006/relationships/hyperlink" Target="https://api-gateway.gistda.or.th/gi-service/v2.2/agriculture/palm-yearly-40m" TargetMode="External"/><Relationship Id="rId5" Type="http://schemas.openxmlformats.org/officeDocument/2006/relationships/hyperlink" Target="https://disaster.gistda.or.th/services/download" TargetMode="External"/><Relationship Id="rId15" Type="http://schemas.openxmlformats.org/officeDocument/2006/relationships/hyperlink" Target="https://api-gateway.gistda.or.th/gi-service/v2.2/agriculture/maize-weekly-40m" TargetMode="External"/><Relationship Id="rId10" Type="http://schemas.openxmlformats.org/officeDocument/2006/relationships/hyperlink" Target="https://api-gateway.gistda.or.th/gi-service/v2.2/agriculture/check-crop" TargetMode="External"/><Relationship Id="rId4" Type="http://schemas.openxmlformats.org/officeDocument/2006/relationships/hyperlink" Target="https://disaster.gistda.or.th/services/download" TargetMode="External"/><Relationship Id="rId9" Type="http://schemas.openxmlformats.org/officeDocument/2006/relationships/hyperlink" Target="https://api-gateway.gistda.or.th/gi-service/v1.1/agriculture/crop-suitability" TargetMode="External"/><Relationship Id="rId14" Type="http://schemas.openxmlformats.org/officeDocument/2006/relationships/hyperlink" Target="https://api-gateway.gistda.or.th/gi-service/v2.2/agriculture/cassava-weekly-40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md.go.th/storms" TargetMode="External"/><Relationship Id="rId2" Type="http://schemas.openxmlformats.org/officeDocument/2006/relationships/hyperlink" Target="https://www.tmd.go.th/climate/climateStat/TropicalCyclone" TargetMode="External"/><Relationship Id="rId1" Type="http://schemas.openxmlformats.org/officeDocument/2006/relationships/hyperlink" Target="https://data.tmd.go.th/dataset/index.php" TargetMode="External"/><Relationship Id="rId6" Type="http://schemas.openxmlformats.org/officeDocument/2006/relationships/hyperlink" Target="https://hpc.tmd.go.th/imgda" TargetMode="External"/><Relationship Id="rId5" Type="http://schemas.openxmlformats.org/officeDocument/2006/relationships/hyperlink" Target="https://hpc.tmd.go.th/imgda" TargetMode="External"/><Relationship Id="rId4" Type="http://schemas.openxmlformats.org/officeDocument/2006/relationships/hyperlink" Target="http://www.rnd.tmd.go.th/heatindexanalysis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hydro.md.go.th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marinemap.dmcr.go.th/" TargetMode="External"/><Relationship Id="rId2" Type="http://schemas.openxmlformats.org/officeDocument/2006/relationships/hyperlink" Target="https://tcs.dmcr.go.th/dmcr/v2/router?page=dashboard" TargetMode="External"/><Relationship Id="rId1" Type="http://schemas.openxmlformats.org/officeDocument/2006/relationships/hyperlink" Target="https://marinemap.dmcr.go.th/" TargetMode="External"/><Relationship Id="rId5" Type="http://schemas.openxmlformats.org/officeDocument/2006/relationships/hyperlink" Target="https://tcs.dmcr.go.th/dmcr/v2/router?page=dashboard" TargetMode="External"/><Relationship Id="rId4" Type="http://schemas.openxmlformats.org/officeDocument/2006/relationships/hyperlink" Target="https://thailandcoralbleaching.dmcr.go.th/th/hom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gdcatalog.go.th/dataset/gdpublish-debris_flood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://sql.ldd.go.th/ldddata/mapsoilH2.html" TargetMode="External"/><Relationship Id="rId2" Type="http://schemas.openxmlformats.org/officeDocument/2006/relationships/hyperlink" Target="http://sql.ldd.go.th/ldddata/mapsoilB1.html" TargetMode="External"/><Relationship Id="rId1" Type="http://schemas.openxmlformats.org/officeDocument/2006/relationships/hyperlink" Target="http://sql.ldd.go.th/ldddata/mapsoilH3.htm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hii.or.th/th/dataset/drought-risk-area/resource/1cd84954-8df7-4bbd-a13e-2c6fd92e5a95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t.go.th/pages/140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pa.go.th/" TargetMode="External"/><Relationship Id="rId2" Type="http://schemas.openxmlformats.org/officeDocument/2006/relationships/hyperlink" Target="https://www.dopa.go.th/" TargetMode="External"/><Relationship Id="rId1" Type="http://schemas.openxmlformats.org/officeDocument/2006/relationships/hyperlink" Target="https://stat.bora.dopa.go.th/new_stat/webPage/statByAge.php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hris.doh.go.th/highway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gdcatalog.go.th/dataset/gdpublish-gis-fad001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gis-health.moph.go.th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dashboard66.cdd.go.th/Home/DashBoardPublic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asset.bopp-obec.info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info.mhesi.go.th/homestat_academy.php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at.go.th/web-upload/1xff0d34e409a13ef56eea54c52a291126/202205/m_document/8190/16421/file_download/2f763a7ceb431ec89442d39c616529f8.pdf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gisonline.mwa.co.th/fvt_gis/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gisapp.pwa.co.th/p/home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ailway.co.th/Home/Index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hyperlink" Target="https://nsodw.nso.go.th/dwportal/Home.aspx" TargetMode="External"/><Relationship Id="rId1" Type="http://schemas.openxmlformats.org/officeDocument/2006/relationships/hyperlink" Target="https://nsodw.nso.go.th/dwportal/Home.aspx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2.eppo.go.th/cdf/data_regional_central.html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angkok.go.th/th/" TargetMode="External"/><Relationship Id="rId7" Type="http://schemas.openxmlformats.org/officeDocument/2006/relationships/hyperlink" Target="https://weather.bangkok.go.th/" TargetMode="External"/><Relationship Id="rId2" Type="http://schemas.openxmlformats.org/officeDocument/2006/relationships/hyperlink" Target="https://data.bangkok.go.th/th/" TargetMode="External"/><Relationship Id="rId1" Type="http://schemas.openxmlformats.org/officeDocument/2006/relationships/hyperlink" Target="https://data.bangkok.go.th/th/" TargetMode="External"/><Relationship Id="rId6" Type="http://schemas.openxmlformats.org/officeDocument/2006/relationships/hyperlink" Target="https://weather.bangkok.go.th/" TargetMode="External"/><Relationship Id="rId5" Type="http://schemas.openxmlformats.org/officeDocument/2006/relationships/hyperlink" Target="https://airbkk.com/" TargetMode="External"/><Relationship Id="rId4" Type="http://schemas.openxmlformats.org/officeDocument/2006/relationships/hyperlink" Target="https://data.bangkok.go.th/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66"/>
  <sheetViews>
    <sheetView view="pageBreakPreview" zoomScale="150" zoomScaleNormal="133" workbookViewId="0">
      <selection activeCell="B3" sqref="B3:D3"/>
    </sheetView>
  </sheetViews>
  <sheetFormatPr defaultColWidth="8.7109375" defaultRowHeight="15" x14ac:dyDescent="0.25"/>
  <cols>
    <col min="1" max="1" width="10.7109375" customWidth="1"/>
    <col min="2" max="2" width="28.28515625" customWidth="1"/>
    <col min="3" max="3" width="28.85546875" customWidth="1"/>
    <col min="4" max="4" width="17.140625" customWidth="1"/>
    <col min="5" max="5" width="10.85546875" customWidth="1"/>
    <col min="6" max="6" width="11.140625" customWidth="1"/>
    <col min="7" max="7" width="18.28515625" customWidth="1"/>
    <col min="8" max="8" width="16" customWidth="1"/>
    <col min="9" max="9" width="21" customWidth="1"/>
  </cols>
  <sheetData>
    <row r="1" spans="1:9" ht="30.75" x14ac:dyDescent="0.7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3" spans="1:9" ht="168" x14ac:dyDescent="0.25">
      <c r="A3" s="52" t="s">
        <v>1</v>
      </c>
      <c r="B3" s="52" t="s">
        <v>2</v>
      </c>
      <c r="C3" s="52" t="s">
        <v>3</v>
      </c>
      <c r="D3" s="52" t="s">
        <v>4</v>
      </c>
      <c r="E3" s="52" t="s">
        <v>5</v>
      </c>
      <c r="F3" s="52" t="s">
        <v>6</v>
      </c>
      <c r="G3" s="52" t="s">
        <v>7</v>
      </c>
      <c r="H3" s="52" t="s">
        <v>8</v>
      </c>
      <c r="I3" s="52" t="s">
        <v>9</v>
      </c>
    </row>
    <row r="4" spans="1:9" ht="24" x14ac:dyDescent="0.25">
      <c r="A4" s="57" t="s">
        <v>10</v>
      </c>
      <c r="B4" s="57"/>
      <c r="C4" s="57"/>
      <c r="D4" s="57"/>
      <c r="E4" s="57"/>
      <c r="F4" s="57"/>
      <c r="G4" s="57"/>
      <c r="H4" s="57"/>
      <c r="I4" s="57"/>
    </row>
    <row r="5" spans="1:9" ht="96" x14ac:dyDescent="0.25">
      <c r="A5" s="49" t="str">
        <f>IFERROR(IF(BMA!A2="","",BMA!A2),"")</f>
        <v>BMA_1_1</v>
      </c>
      <c r="B5" s="50" t="str">
        <f>IFERROR(IF(BMA!B2="","",BMA!B2),"")</f>
        <v>ข้อมูลปริมาณน้ำฝนจากสถานีตรวจวัดของ กทม. (Rainfall measurements from BMA stations)</v>
      </c>
      <c r="C5" s="50" t="str">
        <f>IFERROR(IF(BMA!A2="","",BMA!C2&amp;CHAR(10)&amp;BMA!D2&amp;CHAR(10)&amp;BMA!E2),"")</f>
        <v>IMPACT (Backward-looking)
Hazard
METEOROLOGICAL_OBSERVATION</v>
      </c>
      <c r="D5" s="50" t="str">
        <f>IFERROR(IF(BMA!F2="","",BMA!F2),"")</f>
        <v>Flood (อุทกภัย); Storm (พายุ)</v>
      </c>
      <c r="E5" s="50" t="str">
        <f>IFERROR(IF(BMA!I2="","",BMA!I2),"")</f>
        <v>-</v>
      </c>
      <c r="F5" s="50" t="str">
        <f>IFERROR(IF(BMA!K2="","",BMA!K2),"")</f>
        <v>Real-time</v>
      </c>
      <c r="G5" s="50" t="str">
        <f>IFERROR(IF(BMA!A2="","",BMA!L2&amp;" / "&amp;BMA!M2),"")</f>
        <v>Point / สถานีตรวจวัดของ กทม.</v>
      </c>
      <c r="H5" s="50" t="str">
        <f>IFERROR(IF(BMA!A2="","",BMA!N2&amp;" / "&amp;BMA!O2),"")</f>
        <v>API / Web Service; CSV / Open</v>
      </c>
      <c r="I5" s="51" t="str">
        <f>IFERROR(IF(BMA!P2="","",HYPERLINK(BMA!P2,IF(LEN(BMA!P2)&gt;45,LEFT(BMA!P2,42)&amp;"...",BMA!P2))),"")</f>
        <v>https://weather.bangkok.go.th</v>
      </c>
    </row>
    <row r="6" spans="1:9" ht="96" x14ac:dyDescent="0.25">
      <c r="A6" s="49" t="str">
        <f>IFERROR(IF(BMA!A3="","",BMA!A3),"")</f>
        <v>BMA_1_2</v>
      </c>
      <c r="B6" s="50" t="str">
        <f>IFERROR(IF(BMA!B3="","",BMA!B3),"")</f>
        <v>ข้อมูลภาพเรดาร์ตรวจฝน (Rainfall radar data)</v>
      </c>
      <c r="C6" s="50" t="str">
        <f>IFERROR(IF(BMA!A3="","",BMA!C3&amp;CHAR(10)&amp;BMA!D3&amp;CHAR(10)&amp;BMA!E3),"")</f>
        <v>Forward-looking
Hazard
METEOROLOGICAL_OBSERVATION</v>
      </c>
      <c r="D6" s="50" t="str">
        <f>IFERROR(IF(BMA!F3="","",BMA!F3),"")</f>
        <v>Flood (อุทกภัย); Storm (พายุ)</v>
      </c>
      <c r="E6" s="50" t="str">
        <f>IFERROR(IF(BMA!I3="","",BMA!I3),"")</f>
        <v>-</v>
      </c>
      <c r="F6" s="50" t="str">
        <f>IFERROR(IF(BMA!K3="","",BMA!K3),"")</f>
        <v>Sub-daily</v>
      </c>
      <c r="G6" s="50" t="str">
        <f>IFERROR(IF(BMA!A3="","",BMA!L3&amp;" / "&amp;BMA!M3),"")</f>
        <v>Sub-national / -</v>
      </c>
      <c r="H6" s="50" t="str">
        <f>IFERROR(IF(BMA!A3="","",BMA!N3&amp;" / "&amp;BMA!O3),"")</f>
        <v>Image; API / Web Service / Open</v>
      </c>
      <c r="I6" s="51" t="str">
        <f>IFERROR(IF(BMA!P3="","",HYPERLINK(BMA!P3,IF(LEN(BMA!P3)&gt;45,LEFT(BMA!P3,42)&amp;"...",BMA!P3))),"")</f>
        <v>https://weather.bangkok.go.th</v>
      </c>
    </row>
    <row r="7" spans="1:9" ht="72" x14ac:dyDescent="0.25">
      <c r="A7" s="49" t="str">
        <f>IFERROR(IF(BMA!A4="","",BMA!A4),"")</f>
        <v>BMA_2_1</v>
      </c>
      <c r="B7" s="50" t="str">
        <f>IFERROR(IF(BMA!B4="","",BMA!B4),"")</f>
        <v>ข้อมูลระดับน้ำในคลอง (Canal water levels)</v>
      </c>
      <c r="C7" s="50" t="str">
        <f>IFERROR(IF(BMA!A4="","",BMA!C4&amp;CHAR(10)&amp;BMA!D4&amp;CHAR(10)&amp;BMA!E4),"")</f>
        <v>IMPACT (Backward-looking)
Hazard
HAZARDOUS_EVENT</v>
      </c>
      <c r="D7" s="50" t="str">
        <f>IFERROR(IF(BMA!F4="","",BMA!F4),"")</f>
        <v>Flood (อุทกภัย)</v>
      </c>
      <c r="E7" s="50" t="str">
        <f>IFERROR(IF(BMA!I4="","",BMA!I4),"")</f>
        <v>-</v>
      </c>
      <c r="F7" s="50" t="str">
        <f>IFERROR(IF(BMA!K4="","",BMA!K4),"")</f>
        <v>Real-time</v>
      </c>
      <c r="G7" s="50" t="str">
        <f>IFERROR(IF(BMA!A4="","",BMA!L4&amp;" / "&amp;BMA!M4),"")</f>
        <v>Point / คลอง/ประตูระบายน้ำ</v>
      </c>
      <c r="H7" s="50" t="str">
        <f>IFERROR(IF(BMA!A4="","",BMA!N4&amp;" / "&amp;BMA!O4),"")</f>
        <v>API / Web Service / Open</v>
      </c>
      <c r="I7" s="51" t="str">
        <f>IFERROR(IF(BMA!P4="","",HYPERLINK(BMA!P4,IF(LEN(BMA!P4)&gt;45,LEFT(BMA!P4,42)&amp;"...",BMA!P4))),"")</f>
        <v>https://data.bangkok.go.th/th/</v>
      </c>
    </row>
    <row r="8" spans="1:9" ht="72" x14ac:dyDescent="0.25">
      <c r="A8" s="49" t="str">
        <f>IFERROR(IF(BMA!A5="","",BMA!A5),"")</f>
        <v>BMA_2_2</v>
      </c>
      <c r="B8" s="50" t="str">
        <f>IFERROR(IF(BMA!B5="","",BMA!B5),"")</f>
        <v>ข้อมูลตรวจวัดน้ำท่วมถนน (Road-flood monitoring data)</v>
      </c>
      <c r="C8" s="50" t="str">
        <f>IFERROR(IF(BMA!A5="","",BMA!C5&amp;CHAR(10)&amp;BMA!D5&amp;CHAR(10)&amp;BMA!E5),"")</f>
        <v>IMPACT (Backward-looking)
Disaster Record
DISASTER_RECORD</v>
      </c>
      <c r="D8" s="50" t="str">
        <f>IFERROR(IF(BMA!F5="","",BMA!F5),"")</f>
        <v>Flood (อุทกภัย)</v>
      </c>
      <c r="E8" s="50" t="str">
        <f>IFERROR(IF(BMA!I5="","",BMA!I5),"")</f>
        <v>-</v>
      </c>
      <c r="F8" s="50" t="str">
        <f>IFERROR(IF(BMA!K5="","",BMA!K5),"")</f>
        <v>Real-time</v>
      </c>
      <c r="G8" s="50" t="str">
        <f>IFERROR(IF(BMA!A5="","",BMA!L5&amp;" / "&amp;BMA!M5),"")</f>
        <v>Point / จุดตรวจวัด</v>
      </c>
      <c r="H8" s="50" t="str">
        <f>IFERROR(IF(BMA!A5="","",BMA!N5&amp;" / "&amp;BMA!O5),"")</f>
        <v>API / Web Service / Open</v>
      </c>
      <c r="I8" s="51" t="str">
        <f>IFERROR(IF(BMA!P5="","",HYPERLINK(BMA!P5,IF(LEN(BMA!P5)&gt;45,LEFT(BMA!P5,42)&amp;"...",BMA!P5))),"")</f>
        <v>https://data.bangkok.go.th/th/</v>
      </c>
    </row>
    <row r="9" spans="1:9" ht="96" x14ac:dyDescent="0.25">
      <c r="A9" s="49" t="str">
        <f>IFERROR(IF(BMA!A6="","",BMA!A6),"")</f>
        <v>BMA_2_3</v>
      </c>
      <c r="B9" s="50" t="str">
        <f>IFERROR(IF(BMA!B6="","",BMA!B6),"")</f>
        <v>ฐานข้อมูลทรัพย์สินระบบระบายน้ำ ท่อ คลอง อุโมงค์ สถานีสูบน้ำ ประตูระบายน้ำ (Drainage system asset inventory)</v>
      </c>
      <c r="C9" s="50" t="str">
        <f>IFERROR(IF(BMA!A6="","",BMA!C6&amp;CHAR(10)&amp;BMA!D6&amp;CHAR(10)&amp;BMA!E6),"")</f>
        <v>Spatial Unit
Exposure
EXPOSED_ASSET</v>
      </c>
      <c r="D9" s="50" t="str">
        <f>IFERROR(IF(BMA!F6="","",BMA!F6),"")</f>
        <v>Flood (อุทกภัย)</v>
      </c>
      <c r="E9" s="50" t="str">
        <f>IFERROR(IF(BMA!I6="","",BMA!I6),"")</f>
        <v>-</v>
      </c>
      <c r="F9" s="50" t="str">
        <f>IFERROR(IF(BMA!K6="","",BMA!K6),"")</f>
        <v>Annual</v>
      </c>
      <c r="G9" s="50" t="str">
        <f>IFERROR(IF(BMA!A6="","",BMA!L6&amp;" / "&amp;BMA!M6),"")</f>
        <v>Sub-national / ทั่วพื้นที่ กทม.</v>
      </c>
      <c r="H9" s="50" t="str">
        <f>IFERROR(IF(BMA!A6="","",BMA!N6&amp;" / "&amp;BMA!O6),"")</f>
        <v>Shapefile; Database / Restricted</v>
      </c>
      <c r="I9" s="51" t="str">
        <f>IFERROR(IF(BMA!P6="","",HYPERLINK(BMA!P6,IF(LEN(BMA!P6)&gt;45,LEFT(BMA!P6,42)&amp;"...",BMA!P6))),"")</f>
        <v>https://data.bangkok.go.th/th/</v>
      </c>
    </row>
    <row r="10" spans="1:9" ht="72" x14ac:dyDescent="0.25">
      <c r="A10" s="49" t="str">
        <f>IFERROR(IF(BMA!A7="","",BMA!A7),"")</f>
        <v>BMA_2_4</v>
      </c>
      <c r="B10" s="50" t="str">
        <f>IFERROR(IF(BMA!B7="","",BMA!B7),"")</f>
        <v>ข้อมูลห้องและจุดคลายร้อนของ กทม. (Cooling rooms / cooling points)</v>
      </c>
      <c r="C10" s="50" t="str">
        <f>IFERROR(IF(BMA!A7="","",BMA!C7&amp;CHAR(10)&amp;BMA!D7&amp;CHAR(10)&amp;BMA!E7),"")</f>
        <v>Adaptation Planning
Response
RESPONSE</v>
      </c>
      <c r="D10" s="50" t="str">
        <f>IFERROR(IF(BMA!F7="","",BMA!F7),"")</f>
        <v>Heat (คลื่นความร้อน)</v>
      </c>
      <c r="E10" s="50" t="str">
        <f>IFERROR(IF(BMA!I7="","",BMA!I7),"")</f>
        <v>2569 (2026)</v>
      </c>
      <c r="F10" s="50" t="str">
        <f>IFERROR(IF(BMA!K7="","",BMA!K7),"")</f>
        <v>Annual</v>
      </c>
      <c r="G10" s="50" t="str">
        <f>IFERROR(IF(BMA!A7="","",BMA!L7&amp;" / "&amp;BMA!M7),"")</f>
        <v>Sub-national / ทั่วพื้นที่ กทม.</v>
      </c>
      <c r="H10" s="50" t="str">
        <f>IFERROR(IF(BMA!A7="","",BMA!N7&amp;" / "&amp;BMA!O7),"")</f>
        <v>Database; PDF Report / Open</v>
      </c>
      <c r="I10" s="51" t="str">
        <f>IFERROR(IF(BMA!P7="","",HYPERLINK(BMA!P7,IF(LEN(BMA!P7)&gt;45,LEFT(BMA!P7,42)&amp;"...",BMA!P7))),"")</f>
        <v>https://data.bangkok.go.th/th/</v>
      </c>
    </row>
    <row r="11" spans="1:9" ht="120" x14ac:dyDescent="0.25">
      <c r="A11" s="49" t="str">
        <f>IFERROR(IF(BMA!A8="","",BMA!A8),"")</f>
        <v>BMA_3_1</v>
      </c>
      <c r="B11" s="50" t="str">
        <f>IFERROR(IF(BMA!B8="","",BMA!B8),"")</f>
        <v>ข้อมูลคุณภาพอากาศและดัชนีความร้อนของ กทม. (Air quality monitoring &amp; Heat Index)</v>
      </c>
      <c r="C11" s="50" t="str">
        <f>IFERROR(IF(BMA!A8="","",BMA!C8&amp;CHAR(10)&amp;BMA!D8&amp;CHAR(10)&amp;BMA!E8),"")</f>
        <v>IMPACT (Backward-looking)
Hazard
ENVIRONMENT</v>
      </c>
      <c r="D11" s="50" t="str">
        <f>IFERROR(IF(BMA!F8="","",BMA!F8),"")</f>
        <v>Heat (คลื่นความร้อน); Air Quality / Haze (คุณภาพอากาศ / หมอกควัน)</v>
      </c>
      <c r="E11" s="50" t="str">
        <f>IFERROR(IF(BMA!I8="","",BMA!I8),"")</f>
        <v>-</v>
      </c>
      <c r="F11" s="50" t="str">
        <f>IFERROR(IF(BMA!K8="","",BMA!K8),"")</f>
        <v>Real-time</v>
      </c>
      <c r="G11" s="50" t="str">
        <f>IFERROR(IF(BMA!A8="","",BMA!L8&amp;" / "&amp;BMA!M8),"")</f>
        <v>Point / สถานีตรวจวัด</v>
      </c>
      <c r="H11" s="50" t="str">
        <f>IFERROR(IF(BMA!A8="","",BMA!N8&amp;" / "&amp;BMA!O8),"")</f>
        <v>API / Web Service / Open</v>
      </c>
      <c r="I11" s="51" t="str">
        <f>IFERROR(IF(BMA!P8="","",HYPERLINK(BMA!P8,IF(LEN(BMA!P8)&gt;45,LEFT(BMA!P8,42)&amp;"...",BMA!P8))),"")</f>
        <v>https://airbkk.com</v>
      </c>
    </row>
    <row r="12" spans="1:9" ht="24" x14ac:dyDescent="0.25">
      <c r="A12" s="57" t="s">
        <v>11</v>
      </c>
      <c r="B12" s="57"/>
      <c r="C12" s="57"/>
      <c r="D12" s="57"/>
      <c r="E12" s="57"/>
      <c r="F12" s="57"/>
      <c r="G12" s="57"/>
      <c r="H12" s="57"/>
      <c r="I12" s="57"/>
    </row>
    <row r="13" spans="1:9" ht="120" x14ac:dyDescent="0.25">
      <c r="A13" s="49" t="str">
        <f>IFERROR(IF(CDD!A2="","",CDD!A2),"")</f>
        <v>CDD_1_1</v>
      </c>
      <c r="B13" s="50" t="str">
        <f>IFERROR(IF(CDD!B2="","",CDD!B2),"")</f>
        <v>จำนวนครัวเรือนกลุ่มเปราะบาง</v>
      </c>
      <c r="C13" s="50" t="str">
        <f>IFERROR(IF(CDD!A2="","",CDD!C2&amp;CHAR(10)&amp;CDD!D2&amp;CHAR(10)&amp;CDD!E2),"")</f>
        <v>Forward-looking
Vulnerability
SENSITIVITY</v>
      </c>
      <c r="D13" s="50" t="str">
        <f>IFERROR(IF(CDD!F2="","",CDD!F2),"")</f>
        <v>Cross-cutting (ทุกภัย)</v>
      </c>
      <c r="E13" s="50" t="str">
        <f>IFERROR(IF(CDD!I2="","",CDD!I2),"")</f>
        <v>2025 หรือล่าสุด</v>
      </c>
      <c r="F13" s="50" t="str">
        <f>IFERROR(IF(CDD!K2="","",CDD!K2),"")</f>
        <v>Annual</v>
      </c>
      <c r="G13" s="50" t="str">
        <f>IFERROR(IF(CDD!A2="","",CDD!L2&amp;" / "&amp;CDD!M2),"")</f>
        <v>National / Mooban</v>
      </c>
      <c r="H13" s="50" t="str">
        <f>IFERROR(IF(CDD!A2="","",CDD!N2&amp;" / "&amp;CDD!O2),"")</f>
        <v>Shapefile / Vector; CSV; API / Web Service / Restricted</v>
      </c>
      <c r="I13" s="51" t="str">
        <f>IFERROR(IF(CDD!P2="","",HYPERLINK(CDD!P2,IF(LEN(CDD!P2)&gt;45,LEFT(CDD!P2,42)&amp;"...",CDD!P2))),"")</f>
        <v>https://dashboard66.cdd.go.th/Home/DashBoa...</v>
      </c>
    </row>
    <row r="14" spans="1:9" ht="24" x14ac:dyDescent="0.25">
      <c r="A14" s="57" t="s">
        <v>12</v>
      </c>
      <c r="B14" s="57"/>
      <c r="C14" s="57"/>
      <c r="D14" s="57"/>
      <c r="E14" s="57"/>
      <c r="F14" s="57"/>
      <c r="G14" s="57"/>
      <c r="H14" s="57"/>
      <c r="I14" s="57"/>
    </row>
    <row r="15" spans="1:9" ht="72" x14ac:dyDescent="0.25">
      <c r="A15" s="49" t="str">
        <f>IFERROR(IF(DCCE!A2="","",DCCE!A2),"")</f>
        <v>DCCE_2_1</v>
      </c>
      <c r="B15" s="50" t="str">
        <f>IFERROR(IF(DCCE!B2="","",DCCE!B2),"")</f>
        <v>ปริมาณน้ำฝน (GridData, historical)</v>
      </c>
      <c r="C15" s="50" t="str">
        <f>IFERROR(IF(DCCE!A2="","",DCCE!C2&amp;CHAR(10)&amp;DCCE!D2&amp;CHAR(10)&amp;DCCE!E2),"")</f>
        <v>Forward-looking
Climate Driver
CLIMATE_DRIVER</v>
      </c>
      <c r="D15" s="50" t="str">
        <f>IFERROR(IF(DCCE!F2="","",DCCE!F2),"")</f>
        <v xml:space="preserve">Drought (ภัยแล้ง) </v>
      </c>
      <c r="E15" s="50" t="str">
        <f>IFERROR(IF(DCCE!I2="","",DCCE!I2),"")</f>
        <v>1981-2023</v>
      </c>
      <c r="F15" s="50" t="str">
        <f>IFERROR(IF(DCCE!K2="","",DCCE!K2),"")</f>
        <v>Daily; Monthly</v>
      </c>
      <c r="G15" s="50" t="str">
        <f>IFERROR(IF(DCCE!A2="","",DCCE!L2&amp;" / "&amp;DCCE!M2),"")</f>
        <v>National / 25 km (Grid)</v>
      </c>
      <c r="H15" s="50" t="str">
        <f>IFERROR(IF(DCCE!A2="","",DCCE!N2&amp;" / "&amp;DCCE!O2),"")</f>
        <v>NetCDF / Restricted</v>
      </c>
      <c r="I15" s="51" t="str">
        <f>IFERROR(IF(DCCE!P2="","",HYPERLINK(DCCE!P2,IF(LEN(DCCE!P2)&gt;45,LEFT(DCCE!P2,42)&amp;"...",DCCE!P2))),"")</f>
        <v>https://clim-webbased.dcce.go.th/DataServices</v>
      </c>
    </row>
    <row r="16" spans="1:9" ht="144" x14ac:dyDescent="0.25">
      <c r="A16" s="49" t="str">
        <f>IFERROR(IF(DCCE!A3="","",DCCE!A3),"")</f>
        <v>DCCE_2_10</v>
      </c>
      <c r="B16" s="50" t="str">
        <f>IFERROR(IF(DCCE!B3="","",DCCE!B3),"")</f>
        <v>ความชื้นสัมพัทธ์ (WRF-Chem)</v>
      </c>
      <c r="C16" s="50" t="str">
        <f>IFERROR(IF(DCCE!A3="","",DCCE!C3&amp;CHAR(10)&amp;DCCE!D3&amp;CHAR(10)&amp;DCCE!E3),"")</f>
        <v>Forward-looking
Climate Driver
CLIMATE_DRIVER</v>
      </c>
      <c r="D16" s="50" t="str">
        <f>IFERROR(IF(DCCE!F3="","",DCCE!F3),"")</f>
        <v>ภัยแล้ง (Drought); ไฟป่า (Wildfire)</v>
      </c>
      <c r="E16" s="50" t="str">
        <f>IFERROR(IF(DCCE!I3="","",DCCE!I3),"")</f>
        <v>1981-2014 (historical); 2015-2099 (ssp585)</v>
      </c>
      <c r="F16" s="50" t="str">
        <f>IFERROR(IF(DCCE!K3="","",DCCE!K3),"")</f>
        <v>Daily; Monthly</v>
      </c>
      <c r="G16" s="50" t="str">
        <f>IFERROR(IF(DCCE!A3="","",DCCE!L3&amp;" / "&amp;DCCE!M3),"")</f>
        <v>National / 25 km (Grid)</v>
      </c>
      <c r="H16" s="50" t="str">
        <f>IFERROR(IF(DCCE!A3="","",DCCE!N3&amp;" / "&amp;DCCE!O3),"")</f>
        <v>NetCDF / Restricted</v>
      </c>
      <c r="I16" s="51" t="str">
        <f>IFERROR(IF(DCCE!P3="","",HYPERLINK(DCCE!P3,IF(LEN(DCCE!P3)&gt;45,LEFT(DCCE!P3,42)&amp;"...",DCCE!P3))),"")</f>
        <v>https://clim-webbased.dcce.go.th/DataServices</v>
      </c>
    </row>
    <row r="17" spans="1:9" ht="216" x14ac:dyDescent="0.25">
      <c r="A17" s="49" t="str">
        <f>IFERROR(IF(DCCE!A4="","",DCCE!A4),"")</f>
        <v>DCCE_2_11</v>
      </c>
      <c r="B17" s="50" t="str">
        <f>IFERROR(IF(DCCE!B4="","",DCCE!B4),"")</f>
        <v>ปริมาณน้ำฝน (RegCM5, EC-Earth3-Veg)</v>
      </c>
      <c r="C17" s="50" t="str">
        <f>IFERROR(IF(DCCE!A4="","",DCCE!C4&amp;CHAR(10)&amp;DCCE!D4&amp;CHAR(10)&amp;DCCE!E4),"")</f>
        <v>Forward-looking
Climate Driver
CLIMATE_DRIVER</v>
      </c>
      <c r="D17" s="50" t="str">
        <f>IFERROR(IF(DCCE!F4="","",DCCE!F4),"")</f>
        <v>น้ำท่วม (Flood); ภัยแล้ง (Drought)</v>
      </c>
      <c r="E17" s="50" t="str">
        <f>IFERROR(IF(DCCE!I4="","",DCCE!I4),"")</f>
        <v>1960-2014 (historical); 2015-2099 (ssp245); 2015-2099 (ssp585)</v>
      </c>
      <c r="F17" s="50" t="str">
        <f>IFERROR(IF(DCCE!K4="","",DCCE!K4),"")</f>
        <v>Daily; Monthly</v>
      </c>
      <c r="G17" s="50" t="str">
        <f>IFERROR(IF(DCCE!A4="","",DCCE!L4&amp;" / "&amp;DCCE!M4),"")</f>
        <v>National / 25 km (Grid)</v>
      </c>
      <c r="H17" s="50" t="str">
        <f>IFERROR(IF(DCCE!A4="","",DCCE!N4&amp;" / "&amp;DCCE!O4),"")</f>
        <v>NetCDF / Restricted</v>
      </c>
      <c r="I17" s="51" t="str">
        <f>IFERROR(IF(DCCE!P4="","",HYPERLINK(DCCE!P4,IF(LEN(DCCE!P4)&gt;45,LEFT(DCCE!P4,42)&amp;"...",DCCE!P4))),"")</f>
        <v>https://clim-webbased.dcce.go.th/DataServices</v>
      </c>
    </row>
    <row r="18" spans="1:9" ht="216" x14ac:dyDescent="0.25">
      <c r="A18" s="49" t="str">
        <f>IFERROR(IF(DCCE!A5="","",DCCE!A5),"")</f>
        <v>DCCE_2_12</v>
      </c>
      <c r="B18" s="50" t="str">
        <f>IFERROR(IF(DCCE!B5="","",DCCE!B5),"")</f>
        <v>อุณหภูมิสูงสุด (RegCM5, EC-Earth3-Veg)</v>
      </c>
      <c r="C18" s="50" t="str">
        <f>IFERROR(IF(DCCE!A5="","",DCCE!C5&amp;CHAR(10)&amp;DCCE!D5&amp;CHAR(10)&amp;DCCE!E5),"")</f>
        <v>Forward-looking
Climate Driver
CLIMATE_DRIVER</v>
      </c>
      <c r="D18" s="50" t="str">
        <f>IFERROR(IF(DCCE!F5="","",DCCE!F5),"")</f>
        <v>คลื่นความร้อน (Heat); ภัยแล้ง (Drought)</v>
      </c>
      <c r="E18" s="50" t="str">
        <f>IFERROR(IF(DCCE!I5="","",DCCE!I5),"")</f>
        <v>1960-2014 (historical); 2015-2099 (ssp245); 2015-2099 (ssp585)</v>
      </c>
      <c r="F18" s="50" t="str">
        <f>IFERROR(IF(DCCE!K5="","",DCCE!K5),"")</f>
        <v>Daily; Monthly</v>
      </c>
      <c r="G18" s="50" t="str">
        <f>IFERROR(IF(DCCE!A5="","",DCCE!L5&amp;" / "&amp;DCCE!M5),"")</f>
        <v>National / 25 km (Grid)</v>
      </c>
      <c r="H18" s="50" t="str">
        <f>IFERROR(IF(DCCE!A5="","",DCCE!N5&amp;" / "&amp;DCCE!O5),"")</f>
        <v>NetCDF / Restricted</v>
      </c>
      <c r="I18" s="51" t="str">
        <f>IFERROR(IF(DCCE!P5="","",HYPERLINK(DCCE!P5,IF(LEN(DCCE!P5)&gt;45,LEFT(DCCE!P5,42)&amp;"...",DCCE!P5))),"")</f>
        <v>https://clim-webbased.dcce.go.th/DataServices</v>
      </c>
    </row>
    <row r="19" spans="1:9" ht="216" x14ac:dyDescent="0.25">
      <c r="A19" s="49" t="str">
        <f>IFERROR(IF(DCCE!A6="","",DCCE!A6),"")</f>
        <v>DCCE_2_13</v>
      </c>
      <c r="B19" s="50" t="str">
        <f>IFERROR(IF(DCCE!B6="","",DCCE!B6),"")</f>
        <v>อุณหภูมิต่ำสุด (RegCM5, EC-Earth3-Veg)</v>
      </c>
      <c r="C19" s="50" t="str">
        <f>IFERROR(IF(DCCE!A6="","",DCCE!C6&amp;CHAR(10)&amp;DCCE!D6&amp;CHAR(10)&amp;DCCE!E6),"")</f>
        <v>Forward-looking
Climate Driver
CLIMATE_DRIVER</v>
      </c>
      <c r="D19" s="50" t="str">
        <f>IFERROR(IF(DCCE!F6="","",DCCE!F6),"")</f>
        <v>คลื่นความเย็น (Cold spell); คลื่นความร้อน (Heat)</v>
      </c>
      <c r="E19" s="50" t="str">
        <f>IFERROR(IF(DCCE!I6="","",DCCE!I6),"")</f>
        <v>1960-2014 (historical); 2015-2099 (ssp245); 2015-2099 (ssp585)</v>
      </c>
      <c r="F19" s="50" t="str">
        <f>IFERROR(IF(DCCE!K6="","",DCCE!K6),"")</f>
        <v>Daily; Monthly</v>
      </c>
      <c r="G19" s="50" t="str">
        <f>IFERROR(IF(DCCE!A6="","",DCCE!L6&amp;" / "&amp;DCCE!M6),"")</f>
        <v>National / 25 km (Grid)</v>
      </c>
      <c r="H19" s="50" t="str">
        <f>IFERROR(IF(DCCE!A6="","",DCCE!N6&amp;" / "&amp;DCCE!O6),"")</f>
        <v>NetCDF / Restricted</v>
      </c>
      <c r="I19" s="51" t="str">
        <f>IFERROR(IF(DCCE!P6="","",HYPERLINK(DCCE!P6,IF(LEN(DCCE!P6)&gt;45,LEFT(DCCE!P6,42)&amp;"...",DCCE!P6))),"")</f>
        <v>https://clim-webbased.dcce.go.th/DataServices</v>
      </c>
    </row>
    <row r="20" spans="1:9" ht="216" x14ac:dyDescent="0.25">
      <c r="A20" s="49" t="str">
        <f>IFERROR(IF(DCCE!A7="","",DCCE!A7),"")</f>
        <v>DCCE_2_14</v>
      </c>
      <c r="B20" s="50" t="str">
        <f>IFERROR(IF(DCCE!B7="","",DCCE!B7),"")</f>
        <v>อุณหภูมิเฉลี่ย (RegCM5, EC-Earth3-Veg)</v>
      </c>
      <c r="C20" s="50" t="str">
        <f>IFERROR(IF(DCCE!A7="","",DCCE!C7&amp;CHAR(10)&amp;DCCE!D7&amp;CHAR(10)&amp;DCCE!E7),"")</f>
        <v>Forward-looking
Climate Driver
CLIMATE_DRIVER</v>
      </c>
      <c r="D20" s="50" t="str">
        <f>IFERROR(IF(DCCE!F7="","",DCCE!F7),"")</f>
        <v>Multi-hazard</v>
      </c>
      <c r="E20" s="50" t="str">
        <f>IFERROR(IF(DCCE!I7="","",DCCE!I7),"")</f>
        <v>1960-2014 (historical); 2015-2099 (ssp245); 2015-2099 (ssp585)</v>
      </c>
      <c r="F20" s="50" t="str">
        <f>IFERROR(IF(DCCE!K7="","",DCCE!K7),"")</f>
        <v>Daily; Monthly</v>
      </c>
      <c r="G20" s="50" t="str">
        <f>IFERROR(IF(DCCE!A7="","",DCCE!L7&amp;" / "&amp;DCCE!M7),"")</f>
        <v>National / 25 km (Grid)</v>
      </c>
      <c r="H20" s="50" t="str">
        <f>IFERROR(IF(DCCE!A7="","",DCCE!N7&amp;" / "&amp;DCCE!O7),"")</f>
        <v>NetCDF / Restricted</v>
      </c>
      <c r="I20" s="51" t="str">
        <f>IFERROR(IF(DCCE!P7="","",HYPERLINK(DCCE!P7,IF(LEN(DCCE!P7)&gt;45,LEFT(DCCE!P7,42)&amp;"...",DCCE!P7))),"")</f>
        <v>https://clim-webbased.dcce.go.th/DataServices</v>
      </c>
    </row>
    <row r="21" spans="1:9" ht="216" x14ac:dyDescent="0.25">
      <c r="A21" s="49" t="str">
        <f>IFERROR(IF(DCCE!A8="","",DCCE!A8),"")</f>
        <v>DCCE_2_15</v>
      </c>
      <c r="B21" s="50" t="str">
        <f>IFERROR(IF(DCCE!B8="","",DCCE!B8),"")</f>
        <v>ความชื้นสัมพัทธ์ (RegCM5, EC-Earth3-Veg)</v>
      </c>
      <c r="C21" s="50" t="str">
        <f>IFERROR(IF(DCCE!A8="","",DCCE!C8&amp;CHAR(10)&amp;DCCE!D8&amp;CHAR(10)&amp;DCCE!E8),"")</f>
        <v>Forward-looking
Climate Driver
CLIMATE_DRIVER</v>
      </c>
      <c r="D21" s="50" t="str">
        <f>IFERROR(IF(DCCE!F8="","",DCCE!F8),"")</f>
        <v>ภัยแล้ง (Drought); ไฟป่า (Wildfire)</v>
      </c>
      <c r="E21" s="50" t="str">
        <f>IFERROR(IF(DCCE!I8="","",DCCE!I8),"")</f>
        <v>1960-2014 (historical); 2015-2099 (ssp245); 2015-2099 (ssp585)</v>
      </c>
      <c r="F21" s="50" t="str">
        <f>IFERROR(IF(DCCE!K8="","",DCCE!K8),"")</f>
        <v>Daily; Monthly</v>
      </c>
      <c r="G21" s="50" t="str">
        <f>IFERROR(IF(DCCE!A8="","",DCCE!L8&amp;" / "&amp;DCCE!M8),"")</f>
        <v>National / 25 km (Grid)</v>
      </c>
      <c r="H21" s="50" t="str">
        <f>IFERROR(IF(DCCE!A8="","",DCCE!N8&amp;" / "&amp;DCCE!O8),"")</f>
        <v>NetCDF / Restricted</v>
      </c>
      <c r="I21" s="51" t="str">
        <f>IFERROR(IF(DCCE!P8="","",HYPERLINK(DCCE!P8,IF(LEN(DCCE!P8)&gt;45,LEFT(DCCE!P8,42)&amp;"...",DCCE!P8))),"")</f>
        <v>https://clim-webbased.dcce.go.th/DataServices</v>
      </c>
    </row>
    <row r="22" spans="1:9" ht="216" x14ac:dyDescent="0.25">
      <c r="A22" s="49" t="str">
        <f>IFERROR(IF(DCCE!A9="","",DCCE!A9),"")</f>
        <v>DCCE_2_16</v>
      </c>
      <c r="B22" s="50" t="str">
        <f>IFERROR(IF(DCCE!B9="","",DCCE!B9),"")</f>
        <v>ปริมาณน้ำฝน (Statistical Downscaling, CMIP6)</v>
      </c>
      <c r="C22" s="50" t="str">
        <f>IFERROR(IF(DCCE!A9="","",DCCE!C9&amp;CHAR(10)&amp;DCCE!D9&amp;CHAR(10)&amp;DCCE!E9),"")</f>
        <v>Forward-looking
Climate Driver
CLIMATE_DRIVER</v>
      </c>
      <c r="D22" s="50" t="str">
        <f>IFERROR(IF(DCCE!F9="","",DCCE!F9),"")</f>
        <v>น้ำท่วม (Flood); ภัยแล้ง (Drought)</v>
      </c>
      <c r="E22" s="50" t="str">
        <f>IFERROR(IF(DCCE!I9="","",DCCE!I9),"")</f>
        <v>1981-2014 (historical); 2015-2100 (ssp245); 2015-2100 (ssp585)</v>
      </c>
      <c r="F22" s="50" t="str">
        <f>IFERROR(IF(DCCE!K9="","",DCCE!K9),"")</f>
        <v>Daily; Monthly</v>
      </c>
      <c r="G22" s="50" t="str">
        <f>IFERROR(IF(DCCE!A9="","",DCCE!L9&amp;" / "&amp;DCCE!M9),"")</f>
        <v>National / 5 km (Grid)</v>
      </c>
      <c r="H22" s="50" t="str">
        <f>IFERROR(IF(DCCE!A9="","",DCCE!N9&amp;" / "&amp;DCCE!O9),"")</f>
        <v>NetCDF / Restricted</v>
      </c>
      <c r="I22" s="51" t="str">
        <f>IFERROR(IF(DCCE!P9="","",HYPERLINK(DCCE!P9,IF(LEN(DCCE!P9)&gt;45,LEFT(DCCE!P9,42)&amp;"...",DCCE!P9))),"")</f>
        <v>https://clim-webbased.dcce.go.th/DataServices</v>
      </c>
    </row>
    <row r="23" spans="1:9" ht="216" x14ac:dyDescent="0.25">
      <c r="A23" s="49" t="str">
        <f>IFERROR(IF(DCCE!A10="","",DCCE!A10),"")</f>
        <v>DCCE_2_17</v>
      </c>
      <c r="B23" s="50" t="str">
        <f>IFERROR(IF(DCCE!B10="","",DCCE!B10),"")</f>
        <v>อุณหภูมิสูงสุด (Statistical Downscaling, CMIP6)</v>
      </c>
      <c r="C23" s="50" t="str">
        <f>IFERROR(IF(DCCE!A10="","",DCCE!C10&amp;CHAR(10)&amp;DCCE!D10&amp;CHAR(10)&amp;DCCE!E10),"")</f>
        <v>Forward-looking
Climate Driver
CLIMATE_DRIVER</v>
      </c>
      <c r="D23" s="50" t="str">
        <f>IFERROR(IF(DCCE!F10="","",DCCE!F10),"")</f>
        <v>คลื่นความร้อน (Heat); ภัยแล้ง (Drought)</v>
      </c>
      <c r="E23" s="50" t="str">
        <f>IFERROR(IF(DCCE!I10="","",DCCE!I10),"")</f>
        <v>1981-2014 (historical); 2015-2100 (ssp245); 2015-2100 (ssp585)</v>
      </c>
      <c r="F23" s="50" t="str">
        <f>IFERROR(IF(DCCE!K10="","",DCCE!K10),"")</f>
        <v>Daily; Monthly</v>
      </c>
      <c r="G23" s="50" t="str">
        <f>IFERROR(IF(DCCE!A10="","",DCCE!L10&amp;" / "&amp;DCCE!M10),"")</f>
        <v>National / 5 km (Grid)</v>
      </c>
      <c r="H23" s="50" t="str">
        <f>IFERROR(IF(DCCE!A10="","",DCCE!N10&amp;" / "&amp;DCCE!O10),"")</f>
        <v>NetCDF / Restricted</v>
      </c>
      <c r="I23" s="51" t="str">
        <f>IFERROR(IF(DCCE!P10="","",HYPERLINK(DCCE!P10,IF(LEN(DCCE!P10)&gt;45,LEFT(DCCE!P10,42)&amp;"...",DCCE!P10))),"")</f>
        <v>https://clim-webbased.dcce.go.th/DataServices</v>
      </c>
    </row>
    <row r="24" spans="1:9" ht="216" x14ac:dyDescent="0.25">
      <c r="A24" s="49" t="str">
        <f>IFERROR(IF(DCCE!A11="","",DCCE!A11),"")</f>
        <v>DCCE_2_18</v>
      </c>
      <c r="B24" s="50" t="str">
        <f>IFERROR(IF(DCCE!B11="","",DCCE!B11),"")</f>
        <v>อุณหภูมิต่ำสุด (Statistical Downscaling, CMIP6)</v>
      </c>
      <c r="C24" s="50" t="str">
        <f>IFERROR(IF(DCCE!A11="","",DCCE!C11&amp;CHAR(10)&amp;DCCE!D11&amp;CHAR(10)&amp;DCCE!E11),"")</f>
        <v>Forward-looking
Climate Driver
CLIMATE_DRIVER</v>
      </c>
      <c r="D24" s="50" t="str">
        <f>IFERROR(IF(DCCE!F11="","",DCCE!F11),"")</f>
        <v>คลื่นความเย็น (Cold spell); คลื่นความร้อน (Heat)</v>
      </c>
      <c r="E24" s="50" t="str">
        <f>IFERROR(IF(DCCE!I11="","",DCCE!I11),"")</f>
        <v>1981-2014 (historical); 2015-2100 (ssp245); 2015-2100 (ssp585)</v>
      </c>
      <c r="F24" s="50" t="str">
        <f>IFERROR(IF(DCCE!K11="","",DCCE!K11),"")</f>
        <v>Daily; Monthly</v>
      </c>
      <c r="G24" s="50" t="str">
        <f>IFERROR(IF(DCCE!A11="","",DCCE!L11&amp;" / "&amp;DCCE!M11),"")</f>
        <v>National / 5 km (Grid)</v>
      </c>
      <c r="H24" s="50" t="str">
        <f>IFERROR(IF(DCCE!A11="","",DCCE!N11&amp;" / "&amp;DCCE!O11),"")</f>
        <v>NetCDF / Restricted</v>
      </c>
      <c r="I24" s="51" t="str">
        <f>IFERROR(IF(DCCE!P11="","",HYPERLINK(DCCE!P11,IF(LEN(DCCE!P11)&gt;45,LEFT(DCCE!P11,42)&amp;"...",DCCE!P11))),"")</f>
        <v>https://clim-webbased.dcce.go.th/DataServices</v>
      </c>
    </row>
    <row r="25" spans="1:9" ht="216" x14ac:dyDescent="0.25">
      <c r="A25" s="49" t="str">
        <f>IFERROR(IF(DCCE!A12="","",DCCE!A12),"")</f>
        <v>DCCE_2_19</v>
      </c>
      <c r="B25" s="50" t="str">
        <f>IFERROR(IF(DCCE!B12="","",DCCE!B12),"")</f>
        <v>อุณหภูมิเฉลี่ย (Statistical Downscaling, CMIP6)</v>
      </c>
      <c r="C25" s="50" t="str">
        <f>IFERROR(IF(DCCE!A12="","",DCCE!C12&amp;CHAR(10)&amp;DCCE!D12&amp;CHAR(10)&amp;DCCE!E12),"")</f>
        <v>Forward-looking
Climate Driver
CLIMATE_DRIVER</v>
      </c>
      <c r="D25" s="50" t="str">
        <f>IFERROR(IF(DCCE!F12="","",DCCE!F12),"")</f>
        <v>Multi-hazard</v>
      </c>
      <c r="E25" s="50" t="str">
        <f>IFERROR(IF(DCCE!I12="","",DCCE!I12),"")</f>
        <v>1981-2014 (historical); 2015-2100 (ssp245); 2015-2100 (ssp585)</v>
      </c>
      <c r="F25" s="50" t="str">
        <f>IFERROR(IF(DCCE!K12="","",DCCE!K12),"")</f>
        <v>Daily; Monthly</v>
      </c>
      <c r="G25" s="50" t="str">
        <f>IFERROR(IF(DCCE!A12="","",DCCE!L12&amp;" / "&amp;DCCE!M12),"")</f>
        <v>National / 5 km (Grid)</v>
      </c>
      <c r="H25" s="50" t="str">
        <f>IFERROR(IF(DCCE!A12="","",DCCE!N12&amp;" / "&amp;DCCE!O12),"")</f>
        <v>NetCDF / Restricted</v>
      </c>
      <c r="I25" s="51" t="str">
        <f>IFERROR(IF(DCCE!P12="","",HYPERLINK(DCCE!P12,IF(LEN(DCCE!P12)&gt;45,LEFT(DCCE!P12,42)&amp;"...",DCCE!P12))),"")</f>
        <v>https://clim-webbased.dcce.go.th/DataServices</v>
      </c>
    </row>
    <row r="26" spans="1:9" ht="72" x14ac:dyDescent="0.25">
      <c r="A26" s="49" t="str">
        <f>IFERROR(IF(DCCE!A13="","",DCCE!A13),"")</f>
        <v>DCCE_2_2</v>
      </c>
      <c r="B26" s="50" t="str">
        <f>IFERROR(IF(DCCE!B13="","",DCCE!B13),"")</f>
        <v>อุณหภูมิสูงสุด (GridData, historical)</v>
      </c>
      <c r="C26" s="50" t="str">
        <f>IFERROR(IF(DCCE!A13="","",DCCE!C13&amp;CHAR(10)&amp;DCCE!D13&amp;CHAR(10)&amp;DCCE!E13),"")</f>
        <v>Forward-looking
Climate Driver
CLIMATE_DRIVER</v>
      </c>
      <c r="D26" s="50" t="str">
        <f>IFERROR(IF(DCCE!F13="","",DCCE!F13),"")</f>
        <v xml:space="preserve">Drought (ภัยแล้ง) </v>
      </c>
      <c r="E26" s="50" t="str">
        <f>IFERROR(IF(DCCE!I13="","",DCCE!I13),"")</f>
        <v>1981-2023</v>
      </c>
      <c r="F26" s="50" t="str">
        <f>IFERROR(IF(DCCE!K13="","",DCCE!K13),"")</f>
        <v>Daily; Monthly</v>
      </c>
      <c r="G26" s="50" t="str">
        <f>IFERROR(IF(DCCE!A13="","",DCCE!L13&amp;" / "&amp;DCCE!M13),"")</f>
        <v>National / 25 km (Grid)</v>
      </c>
      <c r="H26" s="50" t="str">
        <f>IFERROR(IF(DCCE!A13="","",DCCE!N13&amp;" / "&amp;DCCE!O13),"")</f>
        <v>NetCDF / Restricted</v>
      </c>
      <c r="I26" s="51" t="str">
        <f>IFERROR(IF(DCCE!P13="","",HYPERLINK(DCCE!P13,IF(LEN(DCCE!P13)&gt;45,LEFT(DCCE!P13,42)&amp;"...",DCCE!P13))),"")</f>
        <v>https://clim-webbased.dcce.go.th/DataServices</v>
      </c>
    </row>
    <row r="27" spans="1:9" ht="72" x14ac:dyDescent="0.25">
      <c r="A27" s="49" t="str">
        <f>IFERROR(IF(DCCE!A14="","",DCCE!A14),"")</f>
        <v>DCCE_2_3</v>
      </c>
      <c r="B27" s="50" t="str">
        <f>IFERROR(IF(DCCE!B14="","",DCCE!B14),"")</f>
        <v>อุณหภูมิต่ำสุด (GridData, historical)</v>
      </c>
      <c r="C27" s="50" t="str">
        <f>IFERROR(IF(DCCE!A14="","",DCCE!C14&amp;CHAR(10)&amp;DCCE!D14&amp;CHAR(10)&amp;DCCE!E14),"")</f>
        <v>Forward-looking
Climate Driver
CLIMATE_DRIVER</v>
      </c>
      <c r="D27" s="50" t="str">
        <f>IFERROR(IF(DCCE!F14="","",DCCE!F14),"")</f>
        <v xml:space="preserve">Drought (ภัยแล้ง) </v>
      </c>
      <c r="E27" s="50" t="str">
        <f>IFERROR(IF(DCCE!I14="","",DCCE!I14),"")</f>
        <v>1981-2023</v>
      </c>
      <c r="F27" s="50" t="str">
        <f>IFERROR(IF(DCCE!K14="","",DCCE!K14),"")</f>
        <v>Daily; Monthly</v>
      </c>
      <c r="G27" s="50" t="str">
        <f>IFERROR(IF(DCCE!A14="","",DCCE!L14&amp;" / "&amp;DCCE!M14),"")</f>
        <v>National / 25 km (Grid)</v>
      </c>
      <c r="H27" s="50" t="str">
        <f>IFERROR(IF(DCCE!A14="","",DCCE!N14&amp;" / "&amp;DCCE!O14),"")</f>
        <v>NetCDF / Restricted</v>
      </c>
      <c r="I27" s="51" t="str">
        <f>IFERROR(IF(DCCE!P14="","",HYPERLINK(DCCE!P14,IF(LEN(DCCE!P14)&gt;45,LEFT(DCCE!P14,42)&amp;"...",DCCE!P14))),"")</f>
        <v>https://clim-webbased.dcce.go.th/DataServices</v>
      </c>
    </row>
    <row r="28" spans="1:9" ht="72" x14ac:dyDescent="0.25">
      <c r="A28" s="49" t="str">
        <f>IFERROR(IF(DCCE!A15="","",DCCE!A15),"")</f>
        <v>DCCE_2_4</v>
      </c>
      <c r="B28" s="50" t="str">
        <f>IFERROR(IF(DCCE!B15="","",DCCE!B15),"")</f>
        <v>อุณหภูมิเฉลี่ย (GridData, historical)</v>
      </c>
      <c r="C28" s="50" t="str">
        <f>IFERROR(IF(DCCE!A15="","",DCCE!C15&amp;CHAR(10)&amp;DCCE!D15&amp;CHAR(10)&amp;DCCE!E15),"")</f>
        <v>Forward-looking
Climate Driver
CLIMATE_DRIVER</v>
      </c>
      <c r="D28" s="50" t="str">
        <f>IFERROR(IF(DCCE!F15="","",DCCE!F15),"")</f>
        <v xml:space="preserve">Drought (ภัยแล้ง) </v>
      </c>
      <c r="E28" s="50" t="str">
        <f>IFERROR(IF(DCCE!I15="","",DCCE!I15),"")</f>
        <v>1981-2023</v>
      </c>
      <c r="F28" s="50" t="str">
        <f>IFERROR(IF(DCCE!K15="","",DCCE!K15),"")</f>
        <v>Daily; Monthly</v>
      </c>
      <c r="G28" s="50" t="str">
        <f>IFERROR(IF(DCCE!A15="","",DCCE!L15&amp;" / "&amp;DCCE!M15),"")</f>
        <v>National / 25 km (Grid)</v>
      </c>
      <c r="H28" s="50" t="str">
        <f>IFERROR(IF(DCCE!A15="","",DCCE!N15&amp;" / "&amp;DCCE!O15),"")</f>
        <v>NetCDF / Restricted</v>
      </c>
      <c r="I28" s="51" t="str">
        <f>IFERROR(IF(DCCE!P15="","",HYPERLINK(DCCE!P15,IF(LEN(DCCE!P15)&gt;45,LEFT(DCCE!P15,42)&amp;"...",DCCE!P15))),"")</f>
        <v>https://clim-webbased.dcce.go.th/DataServices</v>
      </c>
    </row>
    <row r="29" spans="1:9" ht="72" x14ac:dyDescent="0.25">
      <c r="A29" s="49" t="str">
        <f>IFERROR(IF(DCCE!A16="","",DCCE!A16),"")</f>
        <v>DCCE_2_5</v>
      </c>
      <c r="B29" s="50" t="str">
        <f>IFERROR(IF(DCCE!B16="","",DCCE!B16),"")</f>
        <v>ความชื้นสัมพัทธ์ (GridData, historical)</v>
      </c>
      <c r="C29" s="50" t="str">
        <f>IFERROR(IF(DCCE!A16="","",DCCE!C16&amp;CHAR(10)&amp;DCCE!D16&amp;CHAR(10)&amp;DCCE!E16),"")</f>
        <v>Forward-looking
Climate Driver
CLIMATE_DRIVER</v>
      </c>
      <c r="D29" s="50" t="str">
        <f>IFERROR(IF(DCCE!F16="","",DCCE!F16),"")</f>
        <v>ภัยแล้ง (Drought); ไฟป่า (Wildfire)</v>
      </c>
      <c r="E29" s="50" t="str">
        <f>IFERROR(IF(DCCE!I16="","",DCCE!I16),"")</f>
        <v>1981-2023</v>
      </c>
      <c r="F29" s="50" t="str">
        <f>IFERROR(IF(DCCE!K16="","",DCCE!K16),"")</f>
        <v>Daily; Monthly</v>
      </c>
      <c r="G29" s="50" t="str">
        <f>IFERROR(IF(DCCE!A16="","",DCCE!L16&amp;" / "&amp;DCCE!M16),"")</f>
        <v>National / 25 km (Grid)</v>
      </c>
      <c r="H29" s="50" t="str">
        <f>IFERROR(IF(DCCE!A16="","",DCCE!N16&amp;" / "&amp;DCCE!O16),"")</f>
        <v>NetCDF / Restricted</v>
      </c>
      <c r="I29" s="51" t="str">
        <f>IFERROR(IF(DCCE!P16="","",HYPERLINK(DCCE!P16,IF(LEN(DCCE!P16)&gt;45,LEFT(DCCE!P16,42)&amp;"...",DCCE!P16))),"")</f>
        <v>https://clim-webbased.dcce.go.th/DataServices</v>
      </c>
    </row>
    <row r="30" spans="1:9" ht="144" x14ac:dyDescent="0.25">
      <c r="A30" s="49" t="str">
        <f>IFERROR(IF(DCCE!A17="","",DCCE!A17),"")</f>
        <v>DCCE_2_6</v>
      </c>
      <c r="B30" s="50" t="str">
        <f>IFERROR(IF(DCCE!B17="","",DCCE!B17),"")</f>
        <v>ปริมาณน้ำฝน (WRF-Chem, CMIP6 bias-corrected)</v>
      </c>
      <c r="C30" s="50" t="str">
        <f>IFERROR(IF(DCCE!A17="","",DCCE!C17&amp;CHAR(10)&amp;DCCE!D17&amp;CHAR(10)&amp;DCCE!E17),"")</f>
        <v>Forward-looking
Climate Driver
CLIMATE_DRIVER</v>
      </c>
      <c r="D30" s="50" t="str">
        <f>IFERROR(IF(DCCE!F17="","",DCCE!F17),"")</f>
        <v>น้ำท่วม (Flood); ภัยแล้ง (Drought)</v>
      </c>
      <c r="E30" s="50" t="str">
        <f>IFERROR(IF(DCCE!I17="","",DCCE!I17),"")</f>
        <v>1981-2014 (historical); 2015-2099 (ssp585)</v>
      </c>
      <c r="F30" s="50" t="str">
        <f>IFERROR(IF(DCCE!K17="","",DCCE!K17),"")</f>
        <v>Daily; Monthly</v>
      </c>
      <c r="G30" s="50" t="str">
        <f>IFERROR(IF(DCCE!A17="","",DCCE!L17&amp;" / "&amp;DCCE!M17),"")</f>
        <v>National / 25 km (Grid)</v>
      </c>
      <c r="H30" s="50" t="str">
        <f>IFERROR(IF(DCCE!A17="","",DCCE!N17&amp;" / "&amp;DCCE!O17),"")</f>
        <v>NetCDF / Restricted</v>
      </c>
      <c r="I30" s="51" t="str">
        <f>IFERROR(IF(DCCE!P17="","",HYPERLINK(DCCE!P17,IF(LEN(DCCE!P17)&gt;45,LEFT(DCCE!P17,42)&amp;"...",DCCE!P17))),"")</f>
        <v>https://clim-webbased.dcce.go.th/DataServices</v>
      </c>
    </row>
    <row r="31" spans="1:9" ht="144" x14ac:dyDescent="0.25">
      <c r="A31" s="49" t="str">
        <f>IFERROR(IF(DCCE!A18="","",DCCE!A18),"")</f>
        <v>DCCE_2_7</v>
      </c>
      <c r="B31" s="50" t="str">
        <f>IFERROR(IF(DCCE!B18="","",DCCE!B18),"")</f>
        <v>อุณหภูมิสูงสุด (WRF-Chem)</v>
      </c>
      <c r="C31" s="50" t="str">
        <f>IFERROR(IF(DCCE!A18="","",DCCE!C18&amp;CHAR(10)&amp;DCCE!D18&amp;CHAR(10)&amp;DCCE!E18),"")</f>
        <v>Forward-looking
Climate Driver
CLIMATE_DRIVER</v>
      </c>
      <c r="D31" s="50" t="str">
        <f>IFERROR(IF(DCCE!F18="","",DCCE!F18),"")</f>
        <v>คลื่นความร้อน (Heat); ภัยแล้ง (Drought)</v>
      </c>
      <c r="E31" s="50" t="str">
        <f>IFERROR(IF(DCCE!I18="","",DCCE!I18),"")</f>
        <v>1981-2014 (historical); 2015-2099 (ssp585)</v>
      </c>
      <c r="F31" s="50" t="str">
        <f>IFERROR(IF(DCCE!K18="","",DCCE!K18),"")</f>
        <v>Daily; Monthly</v>
      </c>
      <c r="G31" s="50" t="str">
        <f>IFERROR(IF(DCCE!A18="","",DCCE!L18&amp;" / "&amp;DCCE!M18),"")</f>
        <v>National / 25 km (Grid)</v>
      </c>
      <c r="H31" s="50" t="str">
        <f>IFERROR(IF(DCCE!A18="","",DCCE!N18&amp;" / "&amp;DCCE!O18),"")</f>
        <v>NetCDF / Restricted</v>
      </c>
      <c r="I31" s="51" t="str">
        <f>IFERROR(IF(DCCE!P18="","",HYPERLINK(DCCE!P18,IF(LEN(DCCE!P18)&gt;45,LEFT(DCCE!P18,42)&amp;"...",DCCE!P18))),"")</f>
        <v>https://clim-webbased.dcce.go.th/DataServices</v>
      </c>
    </row>
    <row r="32" spans="1:9" ht="144" x14ac:dyDescent="0.25">
      <c r="A32" s="49" t="str">
        <f>IFERROR(IF(DCCE!A19="","",DCCE!A19),"")</f>
        <v>DCCE_2_8</v>
      </c>
      <c r="B32" s="50" t="str">
        <f>IFERROR(IF(DCCE!B19="","",DCCE!B19),"")</f>
        <v>อุณหภูมิต่ำสุด (WRF-Chem)</v>
      </c>
      <c r="C32" s="50" t="str">
        <f>IFERROR(IF(DCCE!A19="","",DCCE!C19&amp;CHAR(10)&amp;DCCE!D19&amp;CHAR(10)&amp;DCCE!E19),"")</f>
        <v>Forward-looking
Climate Driver
CLIMATE_DRIVER</v>
      </c>
      <c r="D32" s="50" t="str">
        <f>IFERROR(IF(DCCE!F19="","",DCCE!F19),"")</f>
        <v>คลื่นความเย็น (Cold spell); คลื่นความร้อน (Heat)</v>
      </c>
      <c r="E32" s="50" t="str">
        <f>IFERROR(IF(DCCE!I19="","",DCCE!I19),"")</f>
        <v>1981-2014 (historical); 2015-2099 (ssp585)</v>
      </c>
      <c r="F32" s="50" t="str">
        <f>IFERROR(IF(DCCE!K19="","",DCCE!K19),"")</f>
        <v>Daily; Monthly</v>
      </c>
      <c r="G32" s="50" t="str">
        <f>IFERROR(IF(DCCE!A19="","",DCCE!L19&amp;" / "&amp;DCCE!M19),"")</f>
        <v>National / 25 km (Grid)</v>
      </c>
      <c r="H32" s="50" t="str">
        <f>IFERROR(IF(DCCE!A19="","",DCCE!N19&amp;" / "&amp;DCCE!O19),"")</f>
        <v>NetCDF / Restricted</v>
      </c>
      <c r="I32" s="51" t="str">
        <f>IFERROR(IF(DCCE!P19="","",HYPERLINK(DCCE!P19,IF(LEN(DCCE!P19)&gt;45,LEFT(DCCE!P19,42)&amp;"...",DCCE!P19))),"")</f>
        <v>https://clim-webbased.dcce.go.th/DataServices</v>
      </c>
    </row>
    <row r="33" spans="1:9" ht="144" x14ac:dyDescent="0.25">
      <c r="A33" s="49" t="str">
        <f>IFERROR(IF(DCCE!A20="","",DCCE!A20),"")</f>
        <v>DCCE_2_9</v>
      </c>
      <c r="B33" s="50" t="str">
        <f>IFERROR(IF(DCCE!B20="","",DCCE!B20),"")</f>
        <v>อุณหภูมิเฉลี่ย (WRF-Chem)</v>
      </c>
      <c r="C33" s="50" t="str">
        <f>IFERROR(IF(DCCE!A20="","",DCCE!C20&amp;CHAR(10)&amp;DCCE!D20&amp;CHAR(10)&amp;DCCE!E20),"")</f>
        <v>Forward-looking
Climate Driver
CLIMATE_DRIVER</v>
      </c>
      <c r="D33" s="50" t="str">
        <f>IFERROR(IF(DCCE!F20="","",DCCE!F20),"")</f>
        <v>Multi-hazard</v>
      </c>
      <c r="E33" s="50" t="str">
        <f>IFERROR(IF(DCCE!I20="","",DCCE!I20),"")</f>
        <v>1981-2014 (historical); 2015-2099 (ssp585)</v>
      </c>
      <c r="F33" s="50" t="str">
        <f>IFERROR(IF(DCCE!K20="","",DCCE!K20),"")</f>
        <v>Daily; Monthly</v>
      </c>
      <c r="G33" s="50" t="str">
        <f>IFERROR(IF(DCCE!A20="","",DCCE!L20&amp;" / "&amp;DCCE!M20),"")</f>
        <v>National / 25 km (Grid)</v>
      </c>
      <c r="H33" s="50" t="str">
        <f>IFERROR(IF(DCCE!A20="","",DCCE!N20&amp;" / "&amp;DCCE!O20),"")</f>
        <v>NetCDF / Restricted</v>
      </c>
      <c r="I33" s="51" t="str">
        <f>IFERROR(IF(DCCE!P20="","",HYPERLINK(DCCE!P20,IF(LEN(DCCE!P20)&gt;45,LEFT(DCCE!P20,42)&amp;"...",DCCE!P20))),"")</f>
        <v>https://clim-webbased.dcce.go.th/DataServices</v>
      </c>
    </row>
    <row r="34" spans="1:9" ht="216" x14ac:dyDescent="0.25">
      <c r="A34" s="49" t="str">
        <f>IFERROR(IF(DCCE!A21="","",DCCE!A21),"")</f>
        <v>DCCE_3_1</v>
      </c>
      <c r="B34" s="50" t="str">
        <f>IFERROR(IF(DCCE!B21="","",DCCE!B21),"")</f>
        <v>ความเสี่ยงสาขาการเกษตรและความมั่นคงทางอาหาร</v>
      </c>
      <c r="C34" s="50" t="str">
        <f>IFERROR(IF(DCCE!A21="","",DCCE!C21&amp;CHAR(10)&amp;DCCE!D21&amp;CHAR(10)&amp;DCCE!E21),"")</f>
        <v>Forward-looking
Composite Index
COMPOSITE_INDEX</v>
      </c>
      <c r="D34" s="50" t="str">
        <f>IFERROR(IF(DCCE!F21="","",DCCE!F21),"")</f>
        <v>Cross-cutting (ทุกภัย)</v>
      </c>
      <c r="E34" s="50" t="str">
        <f>IFERROR(IF(DCCE!I21="","",DCCE!I21),"")</f>
        <v>1960-2014; 2015-2040; 2041-2060; 2061-2080; 2081-2100</v>
      </c>
      <c r="F34" s="50" t="str">
        <f>IFERROR(IF(DCCE!K21="","",DCCE!K21),"")</f>
        <v/>
      </c>
      <c r="G34" s="50" t="str">
        <f>IFERROR(IF(DCCE!A21="","",DCCE!L21&amp;" / "&amp;DCCE!M21),"")</f>
        <v>National / Province</v>
      </c>
      <c r="H34" s="50" t="str">
        <f>IFERROR(IF(DCCE!A21="","",DCCE!N21&amp;" / "&amp;DCCE!O21),"")</f>
        <v>CSV / Open</v>
      </c>
      <c r="I34" s="51" t="str">
        <f>IFERROR(IF(DCCE!P21="","",HYPERLINK(DCCE!P21,IF(LEN(DCCE!P21)&gt;45,LEFT(DCCE!P21,42)&amp;"...",DCCE!P21))),"")</f>
        <v>https://ccic.dcce.go.th/riskarea</v>
      </c>
    </row>
    <row r="35" spans="1:9" ht="216" x14ac:dyDescent="0.25">
      <c r="A35" s="49" t="str">
        <f>IFERROR(IF(DCCE!A22="","",DCCE!A22),"")</f>
        <v>DCCE_3_2</v>
      </c>
      <c r="B35" s="50" t="str">
        <f>IFERROR(IF(DCCE!B22="","",DCCE!B22),"")</f>
        <v>ความเสี่ยงสาขาการจัดการน้ำ</v>
      </c>
      <c r="C35" s="50" t="str">
        <f>IFERROR(IF(DCCE!A22="","",DCCE!C22&amp;CHAR(10)&amp;DCCE!D22&amp;CHAR(10)&amp;DCCE!E22),"")</f>
        <v>Forward-looking
Composite Index
COMPOSITE_INDEX</v>
      </c>
      <c r="D35" s="50" t="str">
        <f>IFERROR(IF(DCCE!F22="","",DCCE!F22),"")</f>
        <v>Cross-cutting (ทุกภัย)</v>
      </c>
      <c r="E35" s="50" t="str">
        <f>IFERROR(IF(DCCE!I22="","",DCCE!I22),"")</f>
        <v>1960-2014; 2015-2040; 2041-2060; 2061-2080; 2081-2101</v>
      </c>
      <c r="F35" s="50" t="str">
        <f>IFERROR(IF(DCCE!K22="","",DCCE!K22),"")</f>
        <v/>
      </c>
      <c r="G35" s="50" t="str">
        <f>IFERROR(IF(DCCE!A22="","",DCCE!L22&amp;" / "&amp;DCCE!M22),"")</f>
        <v>National / Province</v>
      </c>
      <c r="H35" s="50" t="str">
        <f>IFERROR(IF(DCCE!A22="","",DCCE!N22&amp;" / "&amp;DCCE!O22),"")</f>
        <v>CSV / Open</v>
      </c>
      <c r="I35" s="51" t="str">
        <f>IFERROR(IF(DCCE!P22="","",HYPERLINK(DCCE!P22,IF(LEN(DCCE!P22)&gt;45,LEFT(DCCE!P22,42)&amp;"...",DCCE!P22))),"")</f>
        <v>https://ccic.dcce.go.th/riskarea</v>
      </c>
    </row>
    <row r="36" spans="1:9" ht="216" x14ac:dyDescent="0.25">
      <c r="A36" s="49" t="str">
        <f>IFERROR(IF(DCCE!A23="","",DCCE!A23),"")</f>
        <v>DCCE_3_3</v>
      </c>
      <c r="B36" s="50" t="str">
        <f>IFERROR(IF(DCCE!B23="","",DCCE!B23),"")</f>
        <v>ความเสี่ยงสาขาการตั้งถิ่นฐานและความมั่นคงมนุษย์</v>
      </c>
      <c r="C36" s="50" t="str">
        <f>IFERROR(IF(DCCE!A23="","",DCCE!C23&amp;CHAR(10)&amp;DCCE!D23&amp;CHAR(10)&amp;DCCE!E23),"")</f>
        <v>Forward-looking
Composite Index
COMPOSITE_INDEX</v>
      </c>
      <c r="D36" s="50" t="str">
        <f>IFERROR(IF(DCCE!F23="","",DCCE!F23),"")</f>
        <v>Cross-cutting (ทุกภัย)</v>
      </c>
      <c r="E36" s="50" t="str">
        <f>IFERROR(IF(DCCE!I23="","",DCCE!I23),"")</f>
        <v>1960-2014; 2015-2040; 2041-2060; 2061-2080; 2081-2102</v>
      </c>
      <c r="F36" s="50" t="str">
        <f>IFERROR(IF(DCCE!K23="","",DCCE!K23),"")</f>
        <v>Annual</v>
      </c>
      <c r="G36" s="50" t="str">
        <f>IFERROR(IF(DCCE!A23="","",DCCE!L23&amp;" / "&amp;DCCE!M23),"")</f>
        <v>National / Province</v>
      </c>
      <c r="H36" s="50" t="str">
        <f>IFERROR(IF(DCCE!A23="","",DCCE!N23&amp;" / "&amp;DCCE!O23),"")</f>
        <v>CSV / Open</v>
      </c>
      <c r="I36" s="51" t="str">
        <f>IFERROR(IF(DCCE!P23="","",HYPERLINK(DCCE!P23,IF(LEN(DCCE!P23)&gt;45,LEFT(DCCE!P23,42)&amp;"...",DCCE!P23))),"")</f>
        <v>https://ccic.dcce.go.th/riskarea</v>
      </c>
    </row>
    <row r="37" spans="1:9" ht="216" x14ac:dyDescent="0.25">
      <c r="A37" s="49" t="str">
        <f>IFERROR(IF(DCCE!A24="","",DCCE!A24),"")</f>
        <v>DCCE_3_4</v>
      </c>
      <c r="B37" s="50" t="str">
        <f>IFERROR(IF(DCCE!B24="","",DCCE!B24),"")</f>
        <v>ความเสี่ยงสาขาการท่องเที่ยว</v>
      </c>
      <c r="C37" s="50" t="str">
        <f>IFERROR(IF(DCCE!A24="","",DCCE!C24&amp;CHAR(10)&amp;DCCE!D24&amp;CHAR(10)&amp;DCCE!E24),"")</f>
        <v>Forward-looking
Composite Index
COMPOSITE_INDEX</v>
      </c>
      <c r="D37" s="50" t="str">
        <f>IFERROR(IF(DCCE!F24="","",DCCE!F24),"")</f>
        <v>Cross-cutting (ทุกภัย)</v>
      </c>
      <c r="E37" s="50" t="str">
        <f>IFERROR(IF(DCCE!I24="","",DCCE!I24),"")</f>
        <v>1960-2014; 2015-2040; 2041-2060; 2061-2080; 2081-2103</v>
      </c>
      <c r="F37" s="50" t="str">
        <f>IFERROR(IF(DCCE!K24="","",DCCE!K24),"")</f>
        <v>Annual</v>
      </c>
      <c r="G37" s="50" t="str">
        <f>IFERROR(IF(DCCE!A24="","",DCCE!L24&amp;" / "&amp;DCCE!M24),"")</f>
        <v>National / Province</v>
      </c>
      <c r="H37" s="50" t="str">
        <f>IFERROR(IF(DCCE!A24="","",DCCE!N24&amp;" / "&amp;DCCE!O24),"")</f>
        <v>CSV / Open</v>
      </c>
      <c r="I37" s="51" t="str">
        <f>IFERROR(IF(DCCE!P24="","",HYPERLINK(DCCE!P24,IF(LEN(DCCE!P24)&gt;45,LEFT(DCCE!P24,42)&amp;"...",DCCE!P24))),"")</f>
        <v>https://ccic.dcce.go.th/riskarea</v>
      </c>
    </row>
    <row r="38" spans="1:9" ht="216" x14ac:dyDescent="0.25">
      <c r="A38" s="49" t="str">
        <f>IFERROR(IF(DCCE!A25="","",DCCE!A25),"")</f>
        <v>DCCE_3_5</v>
      </c>
      <c r="B38" s="50" t="str">
        <f>IFERROR(IF(DCCE!B25="","",DCCE!B25),"")</f>
        <v>ความเสี่ยงสาขาทรัพยากรธรรมชาติและสิ่งแวดล้อม</v>
      </c>
      <c r="C38" s="50" t="str">
        <f>IFERROR(IF(DCCE!A25="","",DCCE!C25&amp;CHAR(10)&amp;DCCE!D25&amp;CHAR(10)&amp;DCCE!E25),"")</f>
        <v>Forward-looking
Composite Index
COMPOSITE_INDEX</v>
      </c>
      <c r="D38" s="50" t="str">
        <f>IFERROR(IF(DCCE!F25="","",DCCE!F25),"")</f>
        <v>Cross-cutting (ทุกภัย)</v>
      </c>
      <c r="E38" s="50" t="str">
        <f>IFERROR(IF(DCCE!I25="","",DCCE!I25),"")</f>
        <v>1960-2014; 2015-2040; 2041-2060; 2061-2080; 2081-2104</v>
      </c>
      <c r="F38" s="50" t="str">
        <f>IFERROR(IF(DCCE!K25="","",DCCE!K25),"")</f>
        <v>Annual</v>
      </c>
      <c r="G38" s="50" t="str">
        <f>IFERROR(IF(DCCE!A25="","",DCCE!L25&amp;" / "&amp;DCCE!M25),"")</f>
        <v>National / Province</v>
      </c>
      <c r="H38" s="50" t="str">
        <f>IFERROR(IF(DCCE!A25="","",DCCE!N25&amp;" / "&amp;DCCE!O25),"")</f>
        <v>CSV / Open</v>
      </c>
      <c r="I38" s="51" t="str">
        <f>IFERROR(IF(DCCE!P25="","",HYPERLINK(DCCE!P25,IF(LEN(DCCE!P25)&gt;45,LEFT(DCCE!P25,42)&amp;"...",DCCE!P25))),"")</f>
        <v>https://ccic.dcce.go.th/riskarea</v>
      </c>
    </row>
    <row r="39" spans="1:9" ht="216" x14ac:dyDescent="0.25">
      <c r="A39" s="49" t="str">
        <f>IFERROR(IF(DCCE!A26="","",DCCE!A26),"")</f>
        <v>DCCE_3_6</v>
      </c>
      <c r="B39" s="50" t="str">
        <f>IFERROR(IF(DCCE!B26="","",DCCE!B26),"")</f>
        <v>ความเสี่ยงสาขาสาธารณสุข</v>
      </c>
      <c r="C39" s="50" t="str">
        <f>IFERROR(IF(DCCE!A26="","",DCCE!C26&amp;CHAR(10)&amp;DCCE!D26&amp;CHAR(10)&amp;DCCE!E26),"")</f>
        <v>Forward-looking
Composite Index
COMPOSITE_INDEX</v>
      </c>
      <c r="D39" s="50" t="str">
        <f>IFERROR(IF(DCCE!F26="","",DCCE!F26),"")</f>
        <v>Cross-cutting (ทุกภัย)</v>
      </c>
      <c r="E39" s="50" t="str">
        <f>IFERROR(IF(DCCE!I26="","",DCCE!I26),"")</f>
        <v>1960-2014; 2015-2040; 2041-2060; 2061-2080; 2081-2105</v>
      </c>
      <c r="F39" s="50" t="str">
        <f>IFERROR(IF(DCCE!K26="","",DCCE!K26),"")</f>
        <v>Annual</v>
      </c>
      <c r="G39" s="50" t="str">
        <f>IFERROR(IF(DCCE!A26="","",DCCE!L26&amp;" / "&amp;DCCE!M26),"")</f>
        <v>National / Province</v>
      </c>
      <c r="H39" s="50" t="str">
        <f>IFERROR(IF(DCCE!A26="","",DCCE!N26&amp;" / "&amp;DCCE!O26),"")</f>
        <v>CSV / Open</v>
      </c>
      <c r="I39" s="51" t="str">
        <f>IFERROR(IF(DCCE!P26="","",HYPERLINK(DCCE!P26,IF(LEN(DCCE!P26)&gt;45,LEFT(DCCE!P26,42)&amp;"...",DCCE!P26))),"")</f>
        <v>https://ccic.dcce.go.th/riskarea</v>
      </c>
    </row>
    <row r="40" spans="1:9" ht="216" x14ac:dyDescent="0.25">
      <c r="A40" s="49" t="str">
        <f>IFERROR(IF(DCCE!A27="","",DCCE!A27),"")</f>
        <v>DCCE_3_7</v>
      </c>
      <c r="B40" s="50" t="str">
        <f>IFERROR(IF(DCCE!B27="","",DCCE!B27),"")</f>
        <v>ดัชนีภูมิอากาศ</v>
      </c>
      <c r="C40" s="50" t="str">
        <f>IFERROR(IF(DCCE!A27="","",DCCE!C27&amp;CHAR(10)&amp;DCCE!D27&amp;CHAR(10)&amp;DCCE!E27),"")</f>
        <v>Forward-looking
Climate Driver
CLIMATE_DRIVER</v>
      </c>
      <c r="D40" s="50" t="str">
        <f>IFERROR(IF(DCCE!F27="","",DCCE!F27),"")</f>
        <v>Cross-cutting (ทุกภัย)</v>
      </c>
      <c r="E40" s="50" t="str">
        <f>IFERROR(IF(DCCE!I27="","",DCCE!I27),"")</f>
        <v>1960-2014; 2015-2040; 2041-2060; 2061-2080; 2081-2106</v>
      </c>
      <c r="F40" s="50" t="str">
        <f>IFERROR(IF(DCCE!K27="","",DCCE!K27),"")</f>
        <v>Annual</v>
      </c>
      <c r="G40" s="50" t="str">
        <f>IFERROR(IF(DCCE!A27="","",DCCE!L27&amp;" / "&amp;DCCE!M27),"")</f>
        <v>National / Province</v>
      </c>
      <c r="H40" s="50" t="str">
        <f>IFERROR(IF(DCCE!A27="","",DCCE!N27&amp;" / "&amp;DCCE!O27),"")</f>
        <v>CSV / Open</v>
      </c>
      <c r="I40" s="51" t="str">
        <f>IFERROR(IF(DCCE!P27="","",HYPERLINK(DCCE!P27,IF(LEN(DCCE!P27)&gt;45,LEFT(DCCE!P27,42)&amp;"...",DCCE!P27))),"")</f>
        <v>https://ccic.dcce.go.th/riskarea</v>
      </c>
    </row>
    <row r="41" spans="1:9" ht="24" x14ac:dyDescent="0.25">
      <c r="A41" s="57" t="s">
        <v>13</v>
      </c>
      <c r="B41" s="57"/>
      <c r="C41" s="57"/>
      <c r="D41" s="57"/>
      <c r="E41" s="57"/>
      <c r="F41" s="57"/>
      <c r="G41" s="57"/>
      <c r="H41" s="57"/>
      <c r="I41" s="57"/>
    </row>
    <row r="42" spans="1:9" ht="120" x14ac:dyDescent="0.25">
      <c r="A42" s="49" t="str">
        <f>IFERROR(IF(DDPM!A2="","",DDPM!A2),"")</f>
        <v>DDPM_1_1</v>
      </c>
      <c r="B42" s="50" t="str">
        <f>IFERROR(IF(DDPM!B2="","",DDPM!B2),"")</f>
        <v>แผนที่ความเสี่ยงอุทกภัย</v>
      </c>
      <c r="C42" s="50" t="str">
        <f>IFERROR(IF(DDPM!A2="","",DDPM!C2&amp;CHAR(10)&amp;DDPM!D2&amp;CHAR(10)&amp;DDPM!E2),"")</f>
        <v>Forward-looking
Hazard
HAZARD_MAP</v>
      </c>
      <c r="D42" s="50" t="str">
        <f>IFERROR(IF(DDPM!F2="","",DDPM!F2),"")</f>
        <v>Flood (อุทกภัย)</v>
      </c>
      <c r="E42" s="50" t="str">
        <f>IFERROR(IF(DDPM!I2="","",DDPM!I2),"")</f>
        <v>2016-2025</v>
      </c>
      <c r="F42" s="50" t="str">
        <f>IFERROR(IF(DDPM!K2="","",DDPM!K2),"")</f>
        <v>Annual</v>
      </c>
      <c r="G42" s="50" t="str">
        <f>IFERROR(IF(DDPM!A2="","",DDPM!L2&amp;" / "&amp;DDPM!M2),"")</f>
        <v>National / -</v>
      </c>
      <c r="H42" s="50" t="str">
        <f>IFERROR(IF(DDPM!A2="","",DDPM!N2&amp;" / "&amp;DDPM!O2),"")</f>
        <v>Shapefile / Vector; CSV; API / Web Service / Restricted</v>
      </c>
      <c r="I42" s="51" t="str">
        <f>IFERROR(IF(DDPM!P2="","",HYPERLINK(DDPM!P2,IF(LEN(DDPM!P2)&gt;45,LEFT(DDPM!P2,42)&amp;"...",DDPM!P2))),"")</f>
        <v>-</v>
      </c>
    </row>
    <row r="43" spans="1:9" ht="72" x14ac:dyDescent="0.25">
      <c r="A43" s="49" t="str">
        <f>IFERROR(IF(DDPM!A3="","",DDPM!A3),"")</f>
        <v>DDPM_2_1</v>
      </c>
      <c r="B43" s="50" t="str">
        <f>IFERROR(IF(DDPM!B3="","",DDPM!B3),"")</f>
        <v>ข้อมูลเหตุการณ์ภัยพิบัติย้อนหลัง 10 ปี (10-year historical disaster occurrence data)</v>
      </c>
      <c r="C43" s="50" t="str">
        <f>IFERROR(IF(DDPM!A3="","",DDPM!C3&amp;CHAR(10)&amp;DDPM!D3&amp;CHAR(10)&amp;DDPM!E3),"")</f>
        <v>IMPACT (Backward-looking)
Disaster Record
DISASTER_RECORD</v>
      </c>
      <c r="D43" s="50" t="str">
        <f>IFERROR(IF(DDPM!F3="","",DDPM!F3),"")</f>
        <v>Cross-cutting (ทุกภัย)</v>
      </c>
      <c r="E43" s="50" t="str">
        <f>IFERROR(IF(DDPM!I3="","",DDPM!I3),"")</f>
        <v>Unknown</v>
      </c>
      <c r="F43" s="50" t="str">
        <f>IFERROR(IF(DDPM!K3="","",DDPM!K3),"")</f>
        <v>Event-based</v>
      </c>
      <c r="G43" s="50" t="str">
        <f>IFERROR(IF(DDPM!A3="","",DDPM!L3&amp;" / "&amp;DDPM!M3),"")</f>
        <v>Mooban / Mooban</v>
      </c>
      <c r="H43" s="50" t="str">
        <f>IFERROR(IF(DDPM!A3="","",DDPM!N3&amp;" / "&amp;DDPM!O3),"")</f>
        <v>Database / Restricted</v>
      </c>
      <c r="I43" s="51" t="str">
        <f>IFERROR(IF(DDPM!P3="","",HYPERLINK(DDPM!P3,IF(LEN(DDPM!P3)&gt;45,LEFT(DDPM!P3,42)&amp;"...",DDPM!P3))),"")</f>
        <v>-</v>
      </c>
    </row>
    <row r="44" spans="1:9" ht="96" x14ac:dyDescent="0.25">
      <c r="A44" s="49" t="str">
        <f>IFERROR(IF(DDPM!A4="","",DDPM!A4),"")</f>
        <v>DDPM_2_2</v>
      </c>
      <c r="B44" s="50" t="str">
        <f>IFERROR(IF(DDPM!B4="","",DDPM!B4),"")</f>
        <v>ข้อมูลผลการประเมินความเสี่ยงด้านสภาพภูมิอากาศภาคเหนือ 17 จังหวัด (Northern Region Climate Risk Assessment)</v>
      </c>
      <c r="C44" s="50" t="str">
        <f>IFERROR(IF(DDPM!A4="","",DDPM!C4&amp;CHAR(10)&amp;DDPM!D4&amp;CHAR(10)&amp;DDPM!E4),"")</f>
        <v>Forward-looking
Risk Metric
COMPOSITE_INDEX</v>
      </c>
      <c r="D44" s="50" t="str">
        <f>IFERROR(IF(DDPM!F4="","",DDPM!F4),"")</f>
        <v>Flood (อุทกภัย); Landslide (ดินถล่ม)</v>
      </c>
      <c r="E44" s="50" t="str">
        <f>IFERROR(IF(DDPM!I4="","",DDPM!I4),"")</f>
        <v>Unknown</v>
      </c>
      <c r="F44" s="50" t="str">
        <f>IFERROR(IF(DDPM!K4="","",DDPM!K4),"")</f>
        <v>Annual</v>
      </c>
      <c r="G44" s="50" t="str">
        <f>IFERROR(IF(DDPM!A4="","",DDPM!L4&amp;" / "&amp;DDPM!M4),"")</f>
        <v>Sub-national / Sub-district</v>
      </c>
      <c r="H44" s="50" t="str">
        <f>IFERROR(IF(DDPM!A4="","",DDPM!N4&amp;" / "&amp;DDPM!O4),"")</f>
        <v>PDF Report; Shapefile / Restricted</v>
      </c>
      <c r="I44" s="51" t="str">
        <f>IFERROR(IF(DDPM!P4="","",HYPERLINK(DDPM!P4,IF(LEN(DDPM!P4)&gt;45,LEFT(DDPM!P4,42)&amp;"...",DDPM!P4))),"")</f>
        <v>-</v>
      </c>
    </row>
    <row r="45" spans="1:9" ht="120" x14ac:dyDescent="0.25">
      <c r="A45" s="49" t="str">
        <f>IFERROR(IF(DDPM!A5="","",DDPM!A5),"")</f>
        <v>DDPM_2_3</v>
      </c>
      <c r="B45" s="50" t="str">
        <f>IFERROR(IF(DDPM!B5="","",DDPM!B5),"")</f>
        <v>ข้อมูลความเสียหายของทรัพย์สิน (ถนน ปศุสัตว์ วัด ฯลฯ) ตามรายงานของ อปท. (LAO-reported damage counts)</v>
      </c>
      <c r="C45" s="50" t="str">
        <f>IFERROR(IF(DDPM!A5="","",DDPM!C5&amp;CHAR(10)&amp;DDPM!D5&amp;CHAR(10)&amp;DDPM!E5),"")</f>
        <v>IMPACT (Backward-looking)
Loss &amp; Damage
LOSS_DAMAGE_RECORD</v>
      </c>
      <c r="D45" s="50" t="str">
        <f>IFERROR(IF(DDPM!F5="","",DDPM!F5),"")</f>
        <v>Flood (อุทกภัย); Storm (พายุ); Drought (ภัยแล้ง)</v>
      </c>
      <c r="E45" s="50" t="str">
        <f>IFERROR(IF(DDPM!I5="","",DDPM!I5),"")</f>
        <v>Unknown</v>
      </c>
      <c r="F45" s="50" t="str">
        <f>IFERROR(IF(DDPM!K5="","",DDPM!K5),"")</f>
        <v>Event-based</v>
      </c>
      <c r="G45" s="50" t="str">
        <f>IFERROR(IF(DDPM!A5="","",DDPM!L5&amp;" / "&amp;DDPM!M5),"")</f>
        <v>Mooban / Mooban</v>
      </c>
      <c r="H45" s="50" t="str">
        <f>IFERROR(IF(DDPM!A5="","",DDPM!N5&amp;" / "&amp;DDPM!O5),"")</f>
        <v>Database / Restricted</v>
      </c>
      <c r="I45" s="51" t="str">
        <f>IFERROR(IF(DDPM!P5="","",HYPERLINK(DDPM!P5,IF(LEN(DDPM!P5)&gt;45,LEFT(DDPM!P5,42)&amp;"...",DDPM!P5))),"")</f>
        <v>-</v>
      </c>
    </row>
    <row r="46" spans="1:9" ht="216" x14ac:dyDescent="0.25">
      <c r="A46" s="49" t="str">
        <f>IFERROR(IF(DDPM!A6="","",DDPM!A6),"")</f>
        <v>DDPM_3_1</v>
      </c>
      <c r="B46" s="50" t="str">
        <f>IFERROR(IF(DDPM!B6="","",DDPM!B6),"")</f>
        <v>พื้นที่ประสบภัยน้ำแล้งรุนแรง</v>
      </c>
      <c r="C46" s="50" t="str">
        <f>IFERROR(IF(DDPM!A6="","",DDPM!C6&amp;CHAR(10)&amp;DDPM!D6&amp;CHAR(10)&amp;DDPM!E6),"")</f>
        <v>Forward-looking
Hazard
HAZARDOUS_EVENT</v>
      </c>
      <c r="D46" s="50" t="str">
        <f>IFERROR(IF(DDPM!F6="","",DDPM!F6),"")</f>
        <v>Drought (ภัยแล้ง); Heat (คลื่นความร้อน)</v>
      </c>
      <c r="E46" s="50" t="str">
        <f>IFERROR(IF(DDPM!I6="","",DDPM!I6),"")</f>
        <v>1960-2014; 2015-2040; 2041-2060; 2061-2080; 2081-2100</v>
      </c>
      <c r="F46" s="50" t="str">
        <f>IFERROR(IF(DDPM!K6="","",DDPM!K6),"")</f>
        <v>Annual</v>
      </c>
      <c r="G46" s="50" t="str">
        <f>IFERROR(IF(DDPM!A6="","",DDPM!L6&amp;" / "&amp;DDPM!M6),"")</f>
        <v>National / Province</v>
      </c>
      <c r="H46" s="50" t="str">
        <f>IFERROR(IF(DDPM!A6="","",DDPM!N6&amp;" / "&amp;DDPM!O6),"")</f>
        <v>CSV / Restricted</v>
      </c>
      <c r="I46" s="51" t="str">
        <f>IFERROR(IF(DDPM!P6="","",HYPERLINK(DDPM!P6,IF(LEN(DDPM!P6)&gt;45,LEFT(DDPM!P6,42)&amp;"...",DDPM!P6))),"")</f>
        <v>-</v>
      </c>
    </row>
    <row r="47" spans="1:9" ht="216" x14ac:dyDescent="0.25">
      <c r="A47" s="49" t="str">
        <f>IFERROR(IF(DDPM!A7="","",DDPM!A7),"")</f>
        <v>DDPM_3_2</v>
      </c>
      <c r="B47" s="50" t="str">
        <f>IFERROR(IF(DDPM!B7="","",DDPM!B7),"")</f>
        <v>มูลค่าความเสียหายจากภัยแล้ง</v>
      </c>
      <c r="C47" s="50" t="str">
        <f>IFERROR(IF(DDPM!A7="","",DDPM!C7&amp;CHAR(10)&amp;DDPM!D7&amp;CHAR(10)&amp;DDPM!E7),"")</f>
        <v>IMPACT (Backward-looking)
Loss &amp; Damage
LOSS_DAMAGE_RECORD</v>
      </c>
      <c r="D47" s="50" t="str">
        <f>IFERROR(IF(DDPM!F7="","",DDPM!F7),"")</f>
        <v>Drought (ภัยแล้ง)</v>
      </c>
      <c r="E47" s="50" t="str">
        <f>IFERROR(IF(DDPM!I7="","",DDPM!I7),"")</f>
        <v>1960-2014; 2015-2040; 2041-2060; 2061-2080; 2081-2100</v>
      </c>
      <c r="F47" s="50" t="str">
        <f>IFERROR(IF(DDPM!K7="","",DDPM!K7),"")</f>
        <v>Annual</v>
      </c>
      <c r="G47" s="50" t="str">
        <f>IFERROR(IF(DDPM!A7="","",DDPM!L7&amp;" / "&amp;DDPM!M7),"")</f>
        <v>National / Province</v>
      </c>
      <c r="H47" s="50" t="str">
        <f>IFERROR(IF(DDPM!A7="","",DDPM!N7&amp;" / "&amp;DDPM!O7),"")</f>
        <v>CSV / Restricted</v>
      </c>
      <c r="I47" s="51" t="str">
        <f>IFERROR(IF(DDPM!P7="","",HYPERLINK(DDPM!P7,IF(LEN(DDPM!P7)&gt;45,LEFT(DDPM!P7,42)&amp;"...",DDPM!P7))),"")</f>
        <v>-</v>
      </c>
    </row>
    <row r="48" spans="1:9" ht="216" x14ac:dyDescent="0.25">
      <c r="A48" s="49" t="str">
        <f>IFERROR(IF(DDPM!A8="","",DDPM!A8),"")</f>
        <v>DDPM_3_3</v>
      </c>
      <c r="B48" s="50" t="str">
        <f>IFERROR(IF(DDPM!B8="","",DDPM!B8),"")</f>
        <v>พื้นที่ประสบภัยน้ำท่วมรุนแรง</v>
      </c>
      <c r="C48" s="50" t="str">
        <f>IFERROR(IF(DDPM!A8="","",DDPM!C8&amp;CHAR(10)&amp;DDPM!D8&amp;CHAR(10)&amp;DDPM!E8),"")</f>
        <v>Forward-looking
Hazard
HAZARDOUS_EVENT</v>
      </c>
      <c r="D48" s="50" t="str">
        <f>IFERROR(IF(DDPM!F8="","",DDPM!F8),"")</f>
        <v>Flood (อุทกภัย)</v>
      </c>
      <c r="E48" s="50" t="str">
        <f>IFERROR(IF(DDPM!I8="","",DDPM!I8),"")</f>
        <v>1960-2014; 2015-2040; 2041-2060; 2061-2080; 2081-2100</v>
      </c>
      <c r="F48" s="50" t="str">
        <f>IFERROR(IF(DDPM!K8="","",DDPM!K8),"")</f>
        <v>Annual</v>
      </c>
      <c r="G48" s="50" t="str">
        <f>IFERROR(IF(DDPM!A8="","",DDPM!L8&amp;" / "&amp;DDPM!M8),"")</f>
        <v>National / Province</v>
      </c>
      <c r="H48" s="50" t="str">
        <f>IFERROR(IF(DDPM!A8="","",DDPM!N8&amp;" / "&amp;DDPM!O8),"")</f>
        <v>CSV / Restricted</v>
      </c>
      <c r="I48" s="51" t="str">
        <f>IFERROR(IF(DDPM!P8="","",HYPERLINK(DDPM!P8,IF(LEN(DDPM!P8)&gt;45,LEFT(DDPM!P8,42)&amp;"...",DDPM!P8))),"")</f>
        <v>-</v>
      </c>
    </row>
    <row r="49" spans="1:9" ht="216" x14ac:dyDescent="0.25">
      <c r="A49" s="49" t="str">
        <f>IFERROR(IF(DDPM!A9="","",DDPM!A9),"")</f>
        <v>DDPM_3_4</v>
      </c>
      <c r="B49" s="50" t="str">
        <f>IFERROR(IF(DDPM!B9="","",DDPM!B9),"")</f>
        <v>สัดส่วนหมู่บ้านและชุมชนที่ประสบภัยแล้งรุนแรง</v>
      </c>
      <c r="C49" s="50" t="str">
        <f>IFERROR(IF(DDPM!A9="","",DDPM!C9&amp;CHAR(10)&amp;DDPM!D9&amp;CHAR(10)&amp;DDPM!E9),"")</f>
        <v>IMPACT (Backward-looking)
Loss &amp; Damage
LOSS_DAMAGE_RECORD</v>
      </c>
      <c r="D49" s="50" t="str">
        <f>IFERROR(IF(DDPM!F9="","",DDPM!F9),"")</f>
        <v>Flood (อุทกภัย)</v>
      </c>
      <c r="E49" s="50" t="str">
        <f>IFERROR(IF(DDPM!I9="","",DDPM!I9),"")</f>
        <v>1960-2014; 2015-2040; 2041-2060; 2061-2080; 2081-2100</v>
      </c>
      <c r="F49" s="50" t="str">
        <f>IFERROR(IF(DDPM!K9="","",DDPM!K9),"")</f>
        <v>Annual</v>
      </c>
      <c r="G49" s="50" t="str">
        <f>IFERROR(IF(DDPM!A9="","",DDPM!L9&amp;" / "&amp;DDPM!M9),"")</f>
        <v>National / Province</v>
      </c>
      <c r="H49" s="50" t="str">
        <f>IFERROR(IF(DDPM!A9="","",DDPM!N9&amp;" / "&amp;DDPM!O9),"")</f>
        <v>CSV / Restricted</v>
      </c>
      <c r="I49" s="51" t="str">
        <f>IFERROR(IF(DDPM!P9="","",HYPERLINK(DDPM!P9,IF(LEN(DDPM!P9)&gt;45,LEFT(DDPM!P9,42)&amp;"...",DDPM!P9))),"")</f>
        <v>-</v>
      </c>
    </row>
    <row r="50" spans="1:9" ht="216" x14ac:dyDescent="0.25">
      <c r="A50" s="49" t="str">
        <f>IFERROR(IF(DDPM!A10="","",DDPM!A10),"")</f>
        <v>DDPM_3_5</v>
      </c>
      <c r="B50" s="50" t="str">
        <f>IFERROR(IF(DDPM!B10="","",DDPM!B10),"")</f>
        <v>ระยะเวลาที่น้ำท่วมขัง ในเขตที่อยู่อาศัย</v>
      </c>
      <c r="C50" s="50" t="str">
        <f>IFERROR(IF(DDPM!A10="","",DDPM!C10&amp;CHAR(10)&amp;DDPM!D10&amp;CHAR(10)&amp;DDPM!E10),"")</f>
        <v>IMPACT (Backward-looking)
Loss &amp; Damage
LOSS_DAMAGE_RECORD</v>
      </c>
      <c r="D50" s="50" t="str">
        <f>IFERROR(IF(DDPM!F10="","",DDPM!F10),"")</f>
        <v>Flood (อุทกภัย)</v>
      </c>
      <c r="E50" s="50" t="str">
        <f>IFERROR(IF(DDPM!I10="","",DDPM!I10),"")</f>
        <v>1960-2014; 2015-2040; 2041-2060; 2061-2080; 2081-2100</v>
      </c>
      <c r="F50" s="50" t="str">
        <f>IFERROR(IF(DDPM!K10="","",DDPM!K10),"")</f>
        <v>Annual</v>
      </c>
      <c r="G50" s="50" t="str">
        <f>IFERROR(IF(DDPM!A10="","",DDPM!L10&amp;" / "&amp;DDPM!M10),"")</f>
        <v>National / Province</v>
      </c>
      <c r="H50" s="50" t="str">
        <f>IFERROR(IF(DDPM!A10="","",DDPM!N10&amp;" / "&amp;DDPM!O10),"")</f>
        <v>CSV / Restricted</v>
      </c>
      <c r="I50" s="51" t="str">
        <f>IFERROR(IF(DDPM!P10="","",HYPERLINK(DDPM!P10,IF(LEN(DDPM!P10)&gt;45,LEFT(DDPM!P10,42)&amp;"...",DDPM!P10))),"")</f>
        <v>-</v>
      </c>
    </row>
    <row r="51" spans="1:9" ht="216" x14ac:dyDescent="0.25">
      <c r="A51" s="49" t="str">
        <f>IFERROR(IF(DDPM!A11="","",DDPM!A11),"")</f>
        <v>DDPM_3_6</v>
      </c>
      <c r="B51" s="50" t="str">
        <f>IFERROR(IF(DDPM!B11="","",DDPM!B11),"")</f>
        <v>ระดับความลึกของน้ำท่วม ในเขตที่อยู่อาศัย</v>
      </c>
      <c r="C51" s="50" t="str">
        <f>IFERROR(IF(DDPM!A11="","",DDPM!C11&amp;CHAR(10)&amp;DDPM!D11&amp;CHAR(10)&amp;DDPM!E11),"")</f>
        <v>IMPACT (Backward-looking)
Loss &amp; Damage
LOSS_DAMAGE_RECORD</v>
      </c>
      <c r="D51" s="50" t="str">
        <f>IFERROR(IF(DDPM!F11="","",DDPM!F11),"")</f>
        <v>Flood (อุทกภัย)</v>
      </c>
      <c r="E51" s="50" t="str">
        <f>IFERROR(IF(DDPM!I11="","",DDPM!I11),"")</f>
        <v>1960-2014; 2015-2040; 2041-2060; 2061-2080; 2081-2100</v>
      </c>
      <c r="F51" s="50" t="str">
        <f>IFERROR(IF(DDPM!K11="","",DDPM!K11),"")</f>
        <v>Annual</v>
      </c>
      <c r="G51" s="50" t="str">
        <f>IFERROR(IF(DDPM!A11="","",DDPM!L11&amp;" / "&amp;DDPM!M11),"")</f>
        <v>National / Province</v>
      </c>
      <c r="H51" s="50" t="str">
        <f>IFERROR(IF(DDPM!A11="","",DDPM!N11&amp;" / "&amp;DDPM!O11),"")</f>
        <v>CSV / Restricted</v>
      </c>
      <c r="I51" s="51" t="str">
        <f>IFERROR(IF(DDPM!P11="","",HYPERLINK(DDPM!P11,IF(LEN(DDPM!P11)&gt;45,LEFT(DDPM!P11,42)&amp;"...",DDPM!P11))),"")</f>
        <v>-</v>
      </c>
    </row>
    <row r="52" spans="1:9" ht="216" x14ac:dyDescent="0.25">
      <c r="A52" s="49" t="str">
        <f>IFERROR(IF(DDPM!A12="","",DDPM!A12),"")</f>
        <v>DDPM_3_7</v>
      </c>
      <c r="B52" s="50" t="str">
        <f>IFERROR(IF(DDPM!B12="","",DDPM!B12),"")</f>
        <v>สัดส่วนหมู่บ้านและชุมชนที่มีอุทกภัย/ดินโคลนถล่ม (รวม — ต่อหมู่บ้านทั้งหมด)</v>
      </c>
      <c r="C52" s="50" t="str">
        <f>IFERROR(IF(DDPM!A12="","",DDPM!C12&amp;CHAR(10)&amp;DDPM!D12&amp;CHAR(10)&amp;DDPM!E12),"")</f>
        <v>IMPACT (Backward-looking)
Loss &amp; Damage
LOSS_DAMAGE_RECORD</v>
      </c>
      <c r="D52" s="50" t="str">
        <f>IFERROR(IF(DDPM!F12="","",DDPM!F12),"")</f>
        <v>Drought (ภัยแล้ง)</v>
      </c>
      <c r="E52" s="50" t="str">
        <f>IFERROR(IF(DDPM!I12="","",DDPM!I12),"")</f>
        <v>1960-2014; 2015-2040; 2041-2060; 2061-2080; 2081-2100</v>
      </c>
      <c r="F52" s="50" t="str">
        <f>IFERROR(IF(DDPM!K12="","",DDPM!K12),"")</f>
        <v>Annual</v>
      </c>
      <c r="G52" s="50" t="str">
        <f>IFERROR(IF(DDPM!A12="","",DDPM!L12&amp;" / "&amp;DDPM!M12),"")</f>
        <v>National / Province</v>
      </c>
      <c r="H52" s="50" t="str">
        <f>IFERROR(IF(DDPM!A12="","",DDPM!N12&amp;" / "&amp;DDPM!O12),"")</f>
        <v>CSV / Restricted</v>
      </c>
      <c r="I52" s="51" t="str">
        <f>IFERROR(IF(DDPM!P12="","",HYPERLINK(DDPM!P12,IF(LEN(DDPM!P12)&gt;45,LEFT(DDPM!P12,42)&amp;"...",DDPM!P12))),"")</f>
        <v>-</v>
      </c>
    </row>
    <row r="53" spans="1:9" ht="216" x14ac:dyDescent="0.25">
      <c r="A53" s="49" t="str">
        <f>IFERROR(IF(DDPM!A13="","",DDPM!A13),"")</f>
        <v>DDPM_3_8</v>
      </c>
      <c r="B53" s="50" t="str">
        <f>IFERROR(IF(DDPM!B13="","",DDPM!B13),"")</f>
        <v>สัดส่วนหมู่บ้านและชุมชนที่มีอุทกภัย ดินโคลนถล่มต่อหมู่บ้านทั้งหมด</v>
      </c>
      <c r="C53" s="50" t="str">
        <f>IFERROR(IF(DDPM!A13="","",DDPM!C13&amp;CHAR(10)&amp;DDPM!D13&amp;CHAR(10)&amp;DDPM!E13),"")</f>
        <v>IMPACT (Backward-looking)
Loss &amp; Damage
LOSS_DAMAGE_RECORD</v>
      </c>
      <c r="D53" s="50" t="str">
        <f>IFERROR(IF(DDPM!F13="","",DDPM!F13),"")</f>
        <v>Flood (อุทกภัย)</v>
      </c>
      <c r="E53" s="50" t="str">
        <f>IFERROR(IF(DDPM!I13="","",DDPM!I13),"")</f>
        <v>1960-2014; 2015-2040; 2041-2060; 2061-2080; 2081-2100</v>
      </c>
      <c r="F53" s="50" t="str">
        <f>IFERROR(IF(DDPM!K13="","",DDPM!K13),"")</f>
        <v>Annual</v>
      </c>
      <c r="G53" s="50" t="str">
        <f>IFERROR(IF(DDPM!A13="","",DDPM!L13&amp;" / "&amp;DDPM!M13),"")</f>
        <v>National / Province</v>
      </c>
      <c r="H53" s="50" t="str">
        <f>IFERROR(IF(DDPM!A13="","",DDPM!N13&amp;" / "&amp;DDPM!O13),"")</f>
        <v>CSV / Restricted</v>
      </c>
      <c r="I53" s="51" t="str">
        <f>IFERROR(IF(DDPM!P13="","",HYPERLINK(DDPM!P13,IF(LEN(DDPM!P13)&gt;45,LEFT(DDPM!P13,42)&amp;"...",DDPM!P13))),"")</f>
        <v>-</v>
      </c>
    </row>
    <row r="54" spans="1:9" ht="216" x14ac:dyDescent="0.25">
      <c r="A54" s="49" t="str">
        <f>IFERROR(IF(DDPM!A14="","",DDPM!A14),"")</f>
        <v>DDPM_3_9</v>
      </c>
      <c r="B54" s="50" t="str">
        <f>IFERROR(IF(DDPM!B14="","",DDPM!B14),"")</f>
        <v>สัดส่วนหมู่บ้านที่ไม่มีการเตือนภัยและมาตรการช่วยเหลือต่อหมู่บ้านในพื้นที่น้ำท่วม</v>
      </c>
      <c r="C54" s="50" t="str">
        <f>IFERROR(IF(DDPM!A14="","",DDPM!C14&amp;CHAR(10)&amp;DDPM!D14&amp;CHAR(10)&amp;DDPM!E14),"")</f>
        <v>Forward-looking
Vulnerability
SENSITIVITY</v>
      </c>
      <c r="D54" s="50" t="str">
        <f>IFERROR(IF(DDPM!F14="","",DDPM!F14),"")</f>
        <v>Flood (อุทกภัย)</v>
      </c>
      <c r="E54" s="50" t="str">
        <f>IFERROR(IF(DDPM!I14="","",DDPM!I14),"")</f>
        <v>1960-2014; 2015-2040; 2041-2060; 2061-2080; 2081-2100</v>
      </c>
      <c r="F54" s="50" t="str">
        <f>IFERROR(IF(DDPM!K14="","",DDPM!K14),"")</f>
        <v>Annual</v>
      </c>
      <c r="G54" s="50" t="str">
        <f>IFERROR(IF(DDPM!A14="","",DDPM!L14&amp;" / "&amp;DDPM!M14),"")</f>
        <v>National / Province</v>
      </c>
      <c r="H54" s="50" t="str">
        <f>IFERROR(IF(DDPM!A14="","",DDPM!N14&amp;" / "&amp;DDPM!O14),"")</f>
        <v>CSV / Restricted</v>
      </c>
      <c r="I54" s="51" t="str">
        <f>IFERROR(IF(DDPM!P14="","",HYPERLINK(DDPM!P14,IF(LEN(DDPM!P14)&gt;45,LEFT(DDPM!P14,42)&amp;"...",DDPM!P14))),"")</f>
        <v>-</v>
      </c>
    </row>
    <row r="55" spans="1:9" ht="216" x14ac:dyDescent="0.25">
      <c r="A55" s="49" t="str">
        <f>IFERROR(IF(DDPM!A15="","",DDPM!A15),"")</f>
        <v>DDPM_3_10</v>
      </c>
      <c r="B55" s="50" t="str">
        <f>IFERROR(IF(DDPM!B15="","",DDPM!B15),"")</f>
        <v>พื้นที่เสี่ยงภัยแล้งซ้ำซาก (สัดส่วนหมู่บ้านและชุมชนที่เกิดภัยแล้ง)</v>
      </c>
      <c r="C55" s="50" t="str">
        <f>IFERROR(IF(DDPM!A15="","",DDPM!C15&amp;CHAR(10)&amp;DDPM!D15&amp;CHAR(10)&amp;DDPM!E15),"")</f>
        <v>Forward-looking
Hazard
HAZARD_MAP</v>
      </c>
      <c r="D55" s="50" t="str">
        <f>IFERROR(IF(DDPM!F15="","",DDPM!F15),"")</f>
        <v>Drought (ภัยแล้ง)</v>
      </c>
      <c r="E55" s="50" t="str">
        <f>IFERROR(IF(DDPM!I15="","",DDPM!I15),"")</f>
        <v>1960-2014; 2015-2040; 2041-2060; 2061-2080; 2081-2100</v>
      </c>
      <c r="F55" s="50" t="str">
        <f>IFERROR(IF(DDPM!K15="","",DDPM!K15),"")</f>
        <v>Annual</v>
      </c>
      <c r="G55" s="50" t="str">
        <f>IFERROR(IF(DDPM!A15="","",DDPM!L15&amp;" / "&amp;DDPM!M15),"")</f>
        <v>National / Province</v>
      </c>
      <c r="H55" s="50" t="str">
        <f>IFERROR(IF(DDPM!A15="","",DDPM!N15&amp;" / "&amp;DDPM!O15),"")</f>
        <v>CSV / Restricted</v>
      </c>
      <c r="I55" s="51" t="str">
        <f>IFERROR(IF(DDPM!P15="","",HYPERLINK(DDPM!P15,IF(LEN(DDPM!P15)&gt;45,LEFT(DDPM!P15,42)&amp;"...",DDPM!P15))),"")</f>
        <v>-</v>
      </c>
    </row>
    <row r="56" spans="1:9" ht="216" x14ac:dyDescent="0.25">
      <c r="A56" s="49" t="str">
        <f>IFERROR(IF(DDPM!A16="","",DDPM!A16),"")</f>
        <v>DDPM_3_11</v>
      </c>
      <c r="B56" s="50" t="str">
        <f>IFERROR(IF(DDPM!B16="","",DDPM!B16),"")</f>
        <v>สัดส่วนหมู่บ้านและชุมชนที่มีอุทกภัย ดินโคลนถล่ม</v>
      </c>
      <c r="C56" s="50" t="str">
        <f>IFERROR(IF(DDPM!A16="","",DDPM!C16&amp;CHAR(10)&amp;DDPM!D16&amp;CHAR(10)&amp;DDPM!E16),"")</f>
        <v>IMPACT (Backward-looking)
Loss &amp; Damage
LOSS_DAMAGE_RECORD</v>
      </c>
      <c r="D56" s="50" t="str">
        <f>IFERROR(IF(DDPM!F16="","",DDPM!F16),"")</f>
        <v>Flood (อุทกภัย)</v>
      </c>
      <c r="E56" s="50" t="str">
        <f>IFERROR(IF(DDPM!I16="","",DDPM!I16),"")</f>
        <v>1960-2014; 2015-2040; 2041-2060; 2061-2080; 2081-2100</v>
      </c>
      <c r="F56" s="50" t="str">
        <f>IFERROR(IF(DDPM!K16="","",DDPM!K16),"")</f>
        <v>Annual</v>
      </c>
      <c r="G56" s="50" t="str">
        <f>IFERROR(IF(DDPM!A16="","",DDPM!L16&amp;" / "&amp;DDPM!M16),"")</f>
        <v>National / Province</v>
      </c>
      <c r="H56" s="50" t="str">
        <f>IFERROR(IF(DDPM!A16="","",DDPM!N16&amp;" / "&amp;DDPM!O16),"")</f>
        <v>CSV / Restricted</v>
      </c>
      <c r="I56" s="51" t="str">
        <f>IFERROR(IF(DDPM!P16="","",HYPERLINK(DDPM!P16,IF(LEN(DDPM!P16)&gt;45,LEFT(DDPM!P16,42)&amp;"...",DDPM!P16))),"")</f>
        <v>-</v>
      </c>
    </row>
    <row r="57" spans="1:9" ht="24" x14ac:dyDescent="0.25">
      <c r="A57" s="57" t="s">
        <v>14</v>
      </c>
      <c r="B57" s="57"/>
      <c r="C57" s="57"/>
      <c r="D57" s="57"/>
      <c r="E57" s="57"/>
      <c r="F57" s="57"/>
      <c r="G57" s="57"/>
      <c r="H57" s="57"/>
      <c r="I57" s="57"/>
    </row>
    <row r="58" spans="1:9" ht="120" x14ac:dyDescent="0.25">
      <c r="A58" s="49" t="str">
        <f>IFERROR(IF(DMCR!A2="","",DMCR!A2),"")</f>
        <v>DMCR_1_1</v>
      </c>
      <c r="B58" s="50" t="str">
        <f>IFERROR(IF(DMCR!B2="","",DMCR!B2),"")</f>
        <v>พื้นที่กัดเซาะชายฝั่ง (WebGIS DCCE)</v>
      </c>
      <c r="C58" s="50" t="str">
        <f>IFERROR(IF(DMCR!A2="","",DMCR!C2&amp;CHAR(10)&amp;DMCR!D2&amp;CHAR(10)&amp;DMCR!E2),"")</f>
        <v>Forward-looking
Hazard
HAZARD_MAP</v>
      </c>
      <c r="D58" s="50" t="str">
        <f>IFERROR(IF(DMCR!F2="","",DMCR!F2),"")</f>
        <v>Coastal Erosion (กัดเซาะชายฝั่ง)</v>
      </c>
      <c r="E58" s="50" t="str">
        <f>IFERROR(IF(DMCR!I2="","",DMCR!I2),"")</f>
        <v>Up to 2025</v>
      </c>
      <c r="F58" s="50" t="str">
        <f>IFERROR(IF(DMCR!K2="","",DMCR!K2),"")</f>
        <v>Annual</v>
      </c>
      <c r="G58" s="50" t="str">
        <f>IFERROR(IF(DMCR!A2="","",DMCR!L2&amp;" / "&amp;DMCR!M2),"")</f>
        <v>National / -</v>
      </c>
      <c r="H58" s="50" t="str">
        <f>IFERROR(IF(DMCR!A2="","",DMCR!N2&amp;" / "&amp;DMCR!O2),"")</f>
        <v>Shapefile / Vector; CSV; API / Web Service / Restricted</v>
      </c>
      <c r="I58" s="51" t="str">
        <f>IFERROR(IF(DMCR!P2="","",HYPERLINK(DMCR!P2,IF(LEN(DMCR!P2)&gt;45,LEFT(DMCR!P2,42)&amp;"...",DMCR!P2))),"")</f>
        <v>https://tcs.dmcr.go.th/dmcr/v2/router?page...</v>
      </c>
    </row>
    <row r="59" spans="1:9" ht="120" x14ac:dyDescent="0.25">
      <c r="A59" s="49" t="str">
        <f>IFERROR(IF(DMCR!A3="","",DMCR!A3),"")</f>
        <v>DMCR_2_1</v>
      </c>
      <c r="B59" s="50" t="str">
        <f>IFERROR(IF(DMCR!B3="","",DMCR!B3),"")</f>
        <v>ปะการังฟอกขาว</v>
      </c>
      <c r="C59" s="50" t="str">
        <f>IFERROR(IF(DMCR!A3="","",DMCR!C3&amp;CHAR(10)&amp;DMCR!D3&amp;CHAR(10)&amp;DMCR!E3),"")</f>
        <v>IMPACT (Backward-looking)
Loss &amp; Damage
LOSS_DAMAGE_RECORD</v>
      </c>
      <c r="D59" s="50" t="str">
        <f>IFERROR(IF(DMCR!F3="","",DMCR!F3),"")</f>
        <v>Heat (คลื่นความร้อน); Sea-level Rise (ระดับน้ำทะเลสูงขึ้น)</v>
      </c>
      <c r="E59" s="50" t="str">
        <f>IFERROR(IF(DMCR!I3="","",DMCR!I3),"")</f>
        <v>Up to 2025</v>
      </c>
      <c r="F59" s="50" t="str">
        <f>IFERROR(IF(DMCR!K3="","",DMCR!K3),"")</f>
        <v>Annual</v>
      </c>
      <c r="G59" s="50" t="str">
        <f>IFERROR(IF(DMCR!A3="","",DMCR!L3&amp;" / "&amp;DMCR!M3),"")</f>
        <v>National / -</v>
      </c>
      <c r="H59" s="50" t="str">
        <f>IFERROR(IF(DMCR!A3="","",DMCR!N3&amp;" / "&amp;DMCR!O3),"")</f>
        <v>Shapefile / Vector; CSV; API / Web Service / Restricted</v>
      </c>
      <c r="I59" s="51" t="str">
        <f>IFERROR(IF(DMCR!P3="","",HYPERLINK(DMCR!P3,IF(LEN(DMCR!P3)&gt;45,LEFT(DMCR!P3,42)&amp;"...",DMCR!P3))),"")</f>
        <v>https://thailandcoralbleaching.dmcr.go.th/...</v>
      </c>
    </row>
    <row r="60" spans="1:9" ht="96" x14ac:dyDescent="0.25">
      <c r="A60" s="49" t="str">
        <f>IFERROR(IF(DMCR!A4="","",DMCR!A4),"")</f>
        <v>DMCR_3_1</v>
      </c>
      <c r="B60" s="50" t="str">
        <f>IFERROR(IF(DMCR!B4="","",DMCR!B4),"")</f>
        <v>แนวปะการัง</v>
      </c>
      <c r="C60" s="50" t="str">
        <f>IFERROR(IF(DMCR!A4="","",DMCR!C4&amp;CHAR(10)&amp;DMCR!D4&amp;CHAR(10)&amp;DMCR!E4),"")</f>
        <v>Forward-looking
Hazard
ENVIRONMENT</v>
      </c>
      <c r="D60" s="50" t="str">
        <f>IFERROR(IF(DMCR!F4="","",DMCR!F4),"")</f>
        <v>Cross-cutting (ทุกภัย)</v>
      </c>
      <c r="E60" s="50" t="str">
        <f>IFERROR(IF(DMCR!I4="","",DMCR!I4),"")</f>
        <v>Up to 2025</v>
      </c>
      <c r="F60" s="50" t="str">
        <f>IFERROR(IF(DMCR!K4="","",DMCR!K4),"")</f>
        <v>Annual</v>
      </c>
      <c r="G60" s="50" t="str">
        <f>IFERROR(IF(DMCR!A4="","",DMCR!L4&amp;" / "&amp;DMCR!M4),"")</f>
        <v>National / -</v>
      </c>
      <c r="H60" s="50" t="str">
        <f>IFERROR(IF(DMCR!A4="","",DMCR!N4&amp;" / "&amp;DMCR!O4),"")</f>
        <v>Shapefile / Vector; API / Web Service / Restricted</v>
      </c>
      <c r="I60" s="51" t="str">
        <f>IFERROR(IF(DMCR!P4="","",HYPERLINK(DMCR!P4,IF(LEN(DMCR!P4)&gt;45,LEFT(DMCR!P4,42)&amp;"...",DMCR!P4))),"")</f>
        <v>https://marinemap.dmcr.go.th/</v>
      </c>
    </row>
    <row r="61" spans="1:9" ht="96" x14ac:dyDescent="0.25">
      <c r="A61" s="49" t="str">
        <f>IFERROR(IF(DMCR!A5="","",DMCR!A5),"")</f>
        <v>DMCR_3_2</v>
      </c>
      <c r="B61" s="50" t="str">
        <f>IFERROR(IF(DMCR!B5="","",DMCR!B5),"")</f>
        <v>แนวป่าชายเลน</v>
      </c>
      <c r="C61" s="50" t="str">
        <f>IFERROR(IF(DMCR!A5="","",DMCR!C5&amp;CHAR(10)&amp;DMCR!D5&amp;CHAR(10)&amp;DMCR!E5),"")</f>
        <v>Forward-looking
Hazard
ENVIRONMENT</v>
      </c>
      <c r="D61" s="50" t="str">
        <f>IFERROR(IF(DMCR!F5="","",DMCR!F5),"")</f>
        <v>Coastal Erosion (กัดเซาะชายฝั่ง); Storm (พายุ)</v>
      </c>
      <c r="E61" s="50" t="str">
        <f>IFERROR(IF(DMCR!I5="","",DMCR!I5),"")</f>
        <v>Up to 2025</v>
      </c>
      <c r="F61" s="50" t="str">
        <f>IFERROR(IF(DMCR!K5="","",DMCR!K5),"")</f>
        <v>Annual</v>
      </c>
      <c r="G61" s="50" t="str">
        <f>IFERROR(IF(DMCR!A5="","",DMCR!L5&amp;" / "&amp;DMCR!M5),"")</f>
        <v>National / -</v>
      </c>
      <c r="H61" s="50" t="str">
        <f>IFERROR(IF(DMCR!A5="","",DMCR!N5&amp;" / "&amp;DMCR!O5),"")</f>
        <v>Shapefile / Vector; API / Web Service / Restricted</v>
      </c>
      <c r="I61" s="51" t="str">
        <f>IFERROR(IF(DMCR!P5="","",HYPERLINK(DMCR!P5,IF(LEN(DMCR!P5)&gt;45,LEFT(DMCR!P5,42)&amp;"...",DMCR!P5))),"")</f>
        <v>https://marinemap.dmcr.go.th/</v>
      </c>
    </row>
    <row r="62" spans="1:9" ht="72" x14ac:dyDescent="0.25">
      <c r="A62" s="49" t="str">
        <f>IFERROR(IF(DMCR!A6="","",DMCR!A6),"")</f>
        <v>DMCR_4_1</v>
      </c>
      <c r="B62" s="50" t="str">
        <f>IFERROR(IF(DMCR!B6="","",DMCR!B6),"")</f>
        <v>พื้นที่กัดเซาะชายฝั่ง (DMCR ภาคสนาม)</v>
      </c>
      <c r="C62" s="50" t="str">
        <f>IFERROR(IF(DMCR!A6="","",DMCR!C6&amp;CHAR(10)&amp;DMCR!D6&amp;CHAR(10)&amp;DMCR!E6),"")</f>
        <v>Forward-looking
Hazard
HAZARD_MAP</v>
      </c>
      <c r="D62" s="50" t="str">
        <f>IFERROR(IF(DMCR!F6="","",DMCR!F6),"")</f>
        <v>Coastal Erosion (กัดเซาะชายฝั่ง)</v>
      </c>
      <c r="E62" s="50" t="str">
        <f>IFERROR(IF(DMCR!I6="","",DMCR!I6),"")</f>
        <v>-</v>
      </c>
      <c r="F62" s="50" t="str">
        <f>IFERROR(IF(DMCR!K6="","",DMCR!K6),"")</f>
        <v>-</v>
      </c>
      <c r="G62" s="50" t="str">
        <f>IFERROR(IF(DMCR!A6="","",DMCR!L6&amp;" / "&amp;DMCR!M6),"")</f>
        <v>จังหวัดชายฝั่ง / -</v>
      </c>
      <c r="H62" s="50" t="str">
        <f>IFERROR(IF(DMCR!A6="","",DMCR!N6&amp;" / "&amp;DMCR!O6),"")</f>
        <v>GIS (Shapefile / GeoJSON) / -</v>
      </c>
      <c r="I62" s="51" t="str">
        <f>IFERROR(IF(DMCR!P6="","",HYPERLINK(DMCR!P6,IF(LEN(DMCR!P6)&gt;45,LEFT(DMCR!P6,42)&amp;"...",DMCR!P6))),"")</f>
        <v>https://tcs.dmcr.go.th/dmcr/v2/router?page...</v>
      </c>
    </row>
    <row r="63" spans="1:9" ht="216" x14ac:dyDescent="0.25">
      <c r="A63" s="49" t="str">
        <f>IFERROR(IF(DMCR!A7="","",DMCR!A7),"")</f>
        <v>DMCR_5_1</v>
      </c>
      <c r="B63" s="50" t="str">
        <f>IFERROR(IF(DMCR!B7="","",DMCR!B7),"")</f>
        <v>พื้นที่แหล่งปะการังในจังหวัด</v>
      </c>
      <c r="C63" s="50" t="str">
        <f>IFERROR(IF(DMCR!A7="","",DMCR!C7&amp;CHAR(10)&amp;DMCR!D7&amp;CHAR(10)&amp;DMCR!E7),"")</f>
        <v>Forward-looking
Vulnerability
SENSITIVITY</v>
      </c>
      <c r="D63" s="50" t="str">
        <f>IFERROR(IF(DMCR!F7="","",DMCR!F7),"")</f>
        <v>Heat (คลื่นความร้อน)</v>
      </c>
      <c r="E63" s="50" t="str">
        <f>IFERROR(IF(DMCR!I7="","",DMCR!I7),"")</f>
        <v>1960-2014; 2015-2040; 2041-2060; 2061-2080; 2081-2100</v>
      </c>
      <c r="F63" s="50" t="str">
        <f>IFERROR(IF(DMCR!K7="","",DMCR!K7),"")</f>
        <v>Annual</v>
      </c>
      <c r="G63" s="50" t="str">
        <f>IFERROR(IF(DMCR!A7="","",DMCR!L7&amp;" / "&amp;DMCR!M7),"")</f>
        <v>National / Province</v>
      </c>
      <c r="H63" s="50" t="str">
        <f>IFERROR(IF(DMCR!A7="","",DMCR!N7&amp;" / "&amp;DMCR!O7),"")</f>
        <v>CSV / Restricted</v>
      </c>
      <c r="I63" s="51" t="str">
        <f>IFERROR(IF(DMCR!P7="","",HYPERLINK(DMCR!P7,IF(LEN(DMCR!P7)&gt;45,LEFT(DMCR!P7,42)&amp;"...",DMCR!P7))),"")</f>
        <v>-</v>
      </c>
    </row>
    <row r="64" spans="1:9" ht="24" x14ac:dyDescent="0.25">
      <c r="A64" s="57" t="s">
        <v>15</v>
      </c>
      <c r="B64" s="57"/>
      <c r="C64" s="57"/>
      <c r="D64" s="57"/>
      <c r="E64" s="57"/>
      <c r="F64" s="57"/>
      <c r="G64" s="57"/>
      <c r="H64" s="57"/>
      <c r="I64" s="57"/>
    </row>
    <row r="65" spans="1:9" ht="72" x14ac:dyDescent="0.25">
      <c r="A65" s="49" t="str">
        <f>IFERROR(IF(DMR!A2="","",DMR!A2),"")</f>
        <v>DMR_1_1</v>
      </c>
      <c r="B65" s="50" t="str">
        <f>IFERROR(IF(DMR!B2="","",DMR!B2),"")</f>
        <v>พื้นที่ได้รับผลกระทบจากแผ่นดินถล่มและน้ำป่าไหลหลาก</v>
      </c>
      <c r="C65" s="50" t="str">
        <f>IFERROR(IF(DMR!A2="","",DMR!C2&amp;CHAR(10)&amp;DMR!D2&amp;CHAR(10)&amp;DMR!E2),"")</f>
        <v>Forward-looking
Hazard
HAZARD_MAP</v>
      </c>
      <c r="D65" s="50" t="str">
        <f>IFERROR(IF(DMR!F2="","",DMR!F2),"")</f>
        <v>Landslide (ดินถล่ม)</v>
      </c>
      <c r="E65" s="50">
        <f>IFERROR(IF(DMR!I2="","",DMR!I2),"")</f>
        <v>2024</v>
      </c>
      <c r="F65" s="50" t="str">
        <f>IFERROR(IF(DMR!K2="","",DMR!K2),"")</f>
        <v>-</v>
      </c>
      <c r="G65" s="50" t="str">
        <f>IFERROR(IF(DMR!A2="","",DMR!L2&amp;" / "&amp;DMR!M2),"")</f>
        <v>ทั้งประเทศ / -</v>
      </c>
      <c r="H65" s="50" t="str">
        <f>IFERROR(IF(DMR!A2="","",DMR!N2&amp;" / "&amp;DMR!O2),"")</f>
        <v>Shapefile; CSV / -</v>
      </c>
      <c r="I65" s="51" t="str">
        <f>IFERROR(IF(DMR!P2="","",HYPERLINK(DMR!P2,IF(LEN(DMR!P2)&gt;45,LEFT(DMR!P2,42)&amp;"...",DMR!P2))),"")</f>
        <v>https://gdcatalog.go.th/dataset/gdpublish-...</v>
      </c>
    </row>
    <row r="66" spans="1:9" ht="216" x14ac:dyDescent="0.25">
      <c r="A66" s="49" t="str">
        <f>IFERROR(IF(DMR!A3="","",DMR!A3),"")</f>
        <v>DMR_2_1</v>
      </c>
      <c r="B66" s="50" t="str">
        <f>IFERROR(IF(DMR!B3="","",DMR!B3),"")</f>
        <v>พื้นที่เสี่ยงภัยดินถล่ม น้ำป่าไหลหลาก และน้ำท่วมฉับพลัน</v>
      </c>
      <c r="C66" s="50" t="str">
        <f>IFERROR(IF(DMR!A3="","",DMR!C3&amp;CHAR(10)&amp;DMR!D3&amp;CHAR(10)&amp;DMR!E3),"")</f>
        <v>Forward-looking
Hazard
HAZARD_MAP</v>
      </c>
      <c r="D66" s="50" t="str">
        <f>IFERROR(IF(DMR!F3="","",DMR!F3),"")</f>
        <v>Flood (อุทกภัย)</v>
      </c>
      <c r="E66" s="50" t="str">
        <f>IFERROR(IF(DMR!I3="","",DMR!I3),"")</f>
        <v>1960-2014; 2015-2040; 2041-2060; 2061-2080; 2081-2100</v>
      </c>
      <c r="F66" s="50" t="str">
        <f>IFERROR(IF(DMR!K3="","",DMR!K3),"")</f>
        <v>Annual</v>
      </c>
      <c r="G66" s="50" t="str">
        <f>IFERROR(IF(DMR!A3="","",DMR!L3&amp;" / "&amp;DMR!M3),"")</f>
        <v>National / Province</v>
      </c>
      <c r="H66" s="50" t="str">
        <f>IFERROR(IF(DMR!A3="","",DMR!N3&amp;" / "&amp;DMR!O3),"")</f>
        <v>CSV / Restricted</v>
      </c>
      <c r="I66" s="51" t="str">
        <f>IFERROR(IF(DMR!P3="","",HYPERLINK(DMR!P3,IF(LEN(DMR!P3)&gt;45,LEFT(DMR!P3,42)&amp;"...",DMR!P3))),"")</f>
        <v>-</v>
      </c>
    </row>
    <row r="67" spans="1:9" ht="216" x14ac:dyDescent="0.25">
      <c r="A67" s="49" t="str">
        <f>IFERROR(IF(DMR!A4="","",DMR!A4),"")</f>
        <v>DMR_2_2</v>
      </c>
      <c r="B67" s="50" t="str">
        <f>IFERROR(IF(DMR!B4="","",DMR!B4),"")</f>
        <v>พื้นที่มีโอกาสเกิดดินถล่ม</v>
      </c>
      <c r="C67" s="50" t="str">
        <f>IFERROR(IF(DMR!A4="","",DMR!C4&amp;CHAR(10)&amp;DMR!D4&amp;CHAR(10)&amp;DMR!E4),"")</f>
        <v>Forward-looking
Hazard
HAZARD_MAP</v>
      </c>
      <c r="D67" s="50" t="str">
        <f>IFERROR(IF(DMR!F4="","",DMR!F4),"")</f>
        <v>Flood (อุทกภัย)</v>
      </c>
      <c r="E67" s="50" t="str">
        <f>IFERROR(IF(DMR!I4="","",DMR!I4),"")</f>
        <v>1960-2014; 2015-2040; 2041-2060; 2061-2080; 2081-2100</v>
      </c>
      <c r="F67" s="50" t="str">
        <f>IFERROR(IF(DMR!K4="","",DMR!K4),"")</f>
        <v>Annual</v>
      </c>
      <c r="G67" s="50" t="str">
        <f>IFERROR(IF(DMR!A4="","",DMR!L4&amp;" / "&amp;DMR!M4),"")</f>
        <v>National / Province</v>
      </c>
      <c r="H67" s="50" t="str">
        <f>IFERROR(IF(DMR!A4="","",DMR!N4&amp;" / "&amp;DMR!O4),"")</f>
        <v>CSV / Restricted</v>
      </c>
      <c r="I67" s="51" t="str">
        <f>IFERROR(IF(DMR!P4="","",HYPERLINK(DMR!P4,IF(LEN(DMR!P4)&gt;45,LEFT(DMR!P4,42)&amp;"...",DMR!P4))),"")</f>
        <v>-</v>
      </c>
    </row>
    <row r="68" spans="1:9" ht="24" x14ac:dyDescent="0.25">
      <c r="A68" s="57" t="s">
        <v>16</v>
      </c>
      <c r="B68" s="57"/>
      <c r="C68" s="57"/>
      <c r="D68" s="57"/>
      <c r="E68" s="57"/>
      <c r="F68" s="57"/>
      <c r="G68" s="57"/>
      <c r="H68" s="57"/>
      <c r="I68" s="57"/>
    </row>
    <row r="69" spans="1:9" ht="96" x14ac:dyDescent="0.25">
      <c r="A69" s="49" t="str">
        <f>IFERROR(IF(DOH!A2="","",DOH!A2),"")</f>
        <v>DOH_1_1</v>
      </c>
      <c r="B69" s="50" t="str">
        <f>IFERROR(IF(DOH!B2="","",DOH!B2),"")</f>
        <v>ถนนหลวง ถนนสายหลัก และทางหลวงพิเศษ</v>
      </c>
      <c r="C69" s="50" t="str">
        <f>IFERROR(IF(DOH!A2="","",DOH!C2&amp;CHAR(10)&amp;DOH!D2&amp;CHAR(10)&amp;DOH!E2),"")</f>
        <v>Forward-looking
Exposure
EXPOSED_ASSET</v>
      </c>
      <c r="D69" s="50" t="str">
        <f>IFERROR(IF(DOH!F2="","",DOH!F2),"")</f>
        <v>Cross-cutting (ทุกภัย)</v>
      </c>
      <c r="E69" s="50" t="str">
        <f>IFERROR(IF(DOH!I2="","",DOH!I2),"")</f>
        <v>Up to 2025</v>
      </c>
      <c r="F69" s="50" t="str">
        <f>IFERROR(IF(DOH!K2="","",DOH!K2),"")</f>
        <v>Annual</v>
      </c>
      <c r="G69" s="50" t="str">
        <f>IFERROR(IF(DOH!A2="","",DOH!L2&amp;" / "&amp;DOH!M2),"")</f>
        <v>National / -</v>
      </c>
      <c r="H69" s="50" t="str">
        <f>IFERROR(IF(DOH!A2="","",DOH!N2&amp;" / "&amp;DOH!O2),"")</f>
        <v>Shapefile / Vector; API / Web Service / Restricted</v>
      </c>
      <c r="I69" s="51" t="str">
        <f>IFERROR(IF(DOH!P2="","",HYPERLINK(DOH!P2,IF(LEN(DOH!P2)&gt;45,LEFT(DOH!P2,42)&amp;"...",DOH!P2))),"")</f>
        <v>https://hris.doh.go.th/highway</v>
      </c>
    </row>
    <row r="70" spans="1:9" ht="216" x14ac:dyDescent="0.25">
      <c r="A70" s="49" t="str">
        <f>IFERROR(IF(DOH!A3="","",DOH!A3),"")</f>
        <v>DOH_2_1</v>
      </c>
      <c r="B70" s="50" t="str">
        <f>IFERROR(IF(DOH!B3="","",DOH!B3),"")</f>
        <v>ความยาวถนนในพื้นที่น้ำท่วมซ้ำซาก</v>
      </c>
      <c r="C70" s="50" t="str">
        <f>IFERROR(IF(DOH!A3="","",DOH!C3&amp;CHAR(10)&amp;DOH!D3&amp;CHAR(10)&amp;DOH!E3),"")</f>
        <v>Forward-looking
Exposure
EXPOSED_ASSET</v>
      </c>
      <c r="D70" s="50" t="str">
        <f>IFERROR(IF(DOH!F3="","",DOH!F3),"")</f>
        <v>Flood (อุทกภัย)</v>
      </c>
      <c r="E70" s="50" t="str">
        <f>IFERROR(IF(DOH!I3="","",DOH!I3),"")</f>
        <v>1960-2014; 2015-2040; 2041-2060; 2061-2080; 2081-2100</v>
      </c>
      <c r="F70" s="50" t="str">
        <f>IFERROR(IF(DOH!K3="","",DOH!K3),"")</f>
        <v>Annual</v>
      </c>
      <c r="G70" s="50" t="str">
        <f>IFERROR(IF(DOH!A3="","",DOH!L3&amp;" / "&amp;DOH!M3),"")</f>
        <v>National / Province</v>
      </c>
      <c r="H70" s="50" t="str">
        <f>IFERROR(IF(DOH!A3="","",DOH!N3&amp;" / "&amp;DOH!O3),"")</f>
        <v>CSV / Restricted</v>
      </c>
      <c r="I70" s="51" t="str">
        <f>IFERROR(IF(DOH!P3="","",HYPERLINK(DOH!P3,IF(LEN(DOH!P3)&gt;45,LEFT(DOH!P3,42)&amp;"...",DOH!P3))),"")</f>
        <v>-</v>
      </c>
    </row>
    <row r="71" spans="1:9" ht="216" x14ac:dyDescent="0.25">
      <c r="A71" s="49" t="str">
        <f>IFERROR(IF(DOH!A4="","",DOH!A4),"")</f>
        <v>DOH_2_2</v>
      </c>
      <c r="B71" s="50" t="str">
        <f>IFERROR(IF(DOH!B4="","",DOH!B4),"")</f>
        <v>โครงสร้างพื้นฐานด้านคมนาคมขนส่ง</v>
      </c>
      <c r="C71" s="50" t="str">
        <f>IFERROR(IF(DOH!A4="","",DOH!C4&amp;CHAR(10)&amp;DOH!D4&amp;CHAR(10)&amp;DOH!E4),"")</f>
        <v>Forward-looking
Exposure
EXPOSED_ASSET</v>
      </c>
      <c r="D71" s="50" t="str">
        <f>IFERROR(IF(DOH!F4="","",DOH!F4),"")</f>
        <v>Flood (อุทกภัย)</v>
      </c>
      <c r="E71" s="50" t="str">
        <f>IFERROR(IF(DOH!I4="","",DOH!I4),"")</f>
        <v>1960-2014; 2015-2040; 2041-2060; 2061-2080; 2081-2100</v>
      </c>
      <c r="F71" s="50" t="str">
        <f>IFERROR(IF(DOH!K4="","",DOH!K4),"")</f>
        <v>Annual</v>
      </c>
      <c r="G71" s="50" t="str">
        <f>IFERROR(IF(DOH!A4="","",DOH!L4&amp;" / "&amp;DOH!M4),"")</f>
        <v>National / Province</v>
      </c>
      <c r="H71" s="50" t="str">
        <f>IFERROR(IF(DOH!A4="","",DOH!N4&amp;" / "&amp;DOH!O4),"")</f>
        <v>CSV / Restricted</v>
      </c>
      <c r="I71" s="51" t="str">
        <f>IFERROR(IF(DOH!P4="","",HYPERLINK(DOH!P4,IF(LEN(DOH!P4)&gt;45,LEFT(DOH!P4,42)&amp;"...",DOH!P4))),"")</f>
        <v>-</v>
      </c>
    </row>
    <row r="72" spans="1:9" ht="216" x14ac:dyDescent="0.25">
      <c r="A72" s="49" t="str">
        <f>IFERROR(IF(DOH!A5="","",DOH!A5),"")</f>
        <v>DOH_2_3</v>
      </c>
      <c r="B72" s="50" t="str">
        <f>IFERROR(IF(DOH!B5="","",DOH!B5),"")</f>
        <v>โครงสร้างพื้นฐานบริเวณแหล่งท่องเที่ยว เช่น ถนน ฯลฯ</v>
      </c>
      <c r="C72" s="50" t="str">
        <f>IFERROR(IF(DOH!A5="","",DOH!C5&amp;CHAR(10)&amp;DOH!D5&amp;CHAR(10)&amp;DOH!E5),"")</f>
        <v>Forward-looking
Exposure
EXPOSED_ASSET</v>
      </c>
      <c r="D72" s="50" t="str">
        <f>IFERROR(IF(DOH!F5="","",DOH!F5),"")</f>
        <v>Flood (อุทกภัย)</v>
      </c>
      <c r="E72" s="50" t="str">
        <f>IFERROR(IF(DOH!I5="","",DOH!I5),"")</f>
        <v>1960-2014; 2015-2040; 2041-2060; 2061-2080; 2081-2100</v>
      </c>
      <c r="F72" s="50" t="str">
        <f>IFERROR(IF(DOH!K5="","",DOH!K5),"")</f>
        <v>Annual</v>
      </c>
      <c r="G72" s="50" t="str">
        <f>IFERROR(IF(DOH!A5="","",DOH!L5&amp;" / "&amp;DOH!M5),"")</f>
        <v>National / Province</v>
      </c>
      <c r="H72" s="50" t="str">
        <f>IFERROR(IF(DOH!A5="","",DOH!N5&amp;" / "&amp;DOH!O5),"")</f>
        <v>CSV / Restricted</v>
      </c>
      <c r="I72" s="51" t="str">
        <f>IFERROR(IF(DOH!P5="","",HYPERLINK(DOH!P5,IF(LEN(DOH!P5)&gt;45,LEFT(DOH!P5,42)&amp;"...",DOH!P5))),"")</f>
        <v>-</v>
      </c>
    </row>
    <row r="73" spans="1:9" ht="24" x14ac:dyDescent="0.25">
      <c r="A73" s="57" t="s">
        <v>17</v>
      </c>
      <c r="B73" s="57"/>
      <c r="C73" s="57"/>
      <c r="D73" s="57"/>
      <c r="E73" s="57"/>
      <c r="F73" s="57"/>
      <c r="G73" s="57"/>
      <c r="H73" s="57"/>
      <c r="I73" s="57"/>
    </row>
    <row r="74" spans="1:9" ht="96" x14ac:dyDescent="0.25">
      <c r="A74" s="49" t="str">
        <f>IFERROR(IF(DOHealth!A2="","",DOHealth!A2),"")</f>
        <v>DOHealth_1_1</v>
      </c>
      <c r="B74" s="50" t="str">
        <f>IFERROR(IF(DOHealth!B2="","",DOHealth!B2),"")</f>
        <v>จุดที่ตั้งโรงพยาบาล ศูนย์สุขภาพประจำตำบล (รพ.สต.)</v>
      </c>
      <c r="C74" s="50" t="str">
        <f>IFERROR(IF(DOHealth!A2="","",DOHealth!C2&amp;CHAR(10)&amp;DOHealth!D2&amp;CHAR(10)&amp;DOHealth!E2),"")</f>
        <v>Forward-looking
Exposure
EXPOSED_ASSET</v>
      </c>
      <c r="D74" s="50" t="str">
        <f>IFERROR(IF(DOHealth!F2="","",DOHealth!F2),"")</f>
        <v>Cross-cutting (ทุกภัย)</v>
      </c>
      <c r="E74" s="50" t="str">
        <f>IFERROR(IF(DOHealth!I2="","",DOHealth!I2),"")</f>
        <v>2025 หรือล่าสุด</v>
      </c>
      <c r="F74" s="50" t="str">
        <f>IFERROR(IF(DOHealth!K2="","",DOHealth!K2),"")</f>
        <v>Annual</v>
      </c>
      <c r="G74" s="50" t="str">
        <f>IFERROR(IF(DOHealth!A2="","",DOHealth!L2&amp;" / "&amp;DOHealth!M2),"")</f>
        <v>National / Point</v>
      </c>
      <c r="H74" s="50" t="str">
        <f>IFERROR(IF(DOHealth!A2="","",DOHealth!N2&amp;" / "&amp;DOHealth!O2),"")</f>
        <v>Shapefile / Vector; API / Web Service / Restricted</v>
      </c>
      <c r="I74" s="51" t="str">
        <f>IFERROR(IF(DOHealth!P2="","",HYPERLINK(DOHealth!P2,IF(LEN(DOHealth!P2)&gt;45,LEFT(DOHealth!P2,42)&amp;"...",DOHealth!P2))),"")</f>
        <v>https://gis-health.moph.go.th/</v>
      </c>
    </row>
    <row r="75" spans="1:9" ht="96" x14ac:dyDescent="0.25">
      <c r="A75" s="49" t="str">
        <f>IFERROR(IF(DOHealth!A3="","",DOHealth!A3),"")</f>
        <v>DOHealth_1_2</v>
      </c>
      <c r="B75" s="50" t="str">
        <f>IFERROR(IF(DOHealth!B3="","",DOHealth!B3),"")</f>
        <v>สถิติผู้ป่วยจากโรคที่เกี่ยวกับการเปลี่ยนแปลงสภาพภูมิอากาศ</v>
      </c>
      <c r="C75" s="50" t="str">
        <f>IFERROR(IF(DOHealth!A3="","",DOHealth!C3&amp;CHAR(10)&amp;DOHealth!D3&amp;CHAR(10)&amp;DOHealth!E3),"")</f>
        <v>IMPACT (Backward-looking)
Loss &amp; Damage
LOSS_DAMAGE_RECORD</v>
      </c>
      <c r="D75" s="50" t="str">
        <f>IFERROR(IF(DOHealth!F3="","",DOHealth!F3),"")</f>
        <v>Heat (คลื่นความร้อน); Cross-cutting (ทุกภัย)</v>
      </c>
      <c r="E75" s="50" t="str">
        <f>IFERROR(IF(DOHealth!I3="","",DOHealth!I3),"")</f>
        <v>2025 หรือล่าสุด</v>
      </c>
      <c r="F75" s="50" t="str">
        <f>IFERROR(IF(DOHealth!K3="","",DOHealth!K3),"")</f>
        <v>Annual</v>
      </c>
      <c r="G75" s="50" t="str">
        <f>IFERROR(IF(DOHealth!A3="","",DOHealth!L3&amp;" / "&amp;DOHealth!M3),"")</f>
        <v>National / -</v>
      </c>
      <c r="H75" s="50" t="str">
        <f>IFERROR(IF(DOHealth!A3="","",DOHealth!N3&amp;" / "&amp;DOHealth!O3),"")</f>
        <v xml:space="preserve"> / Restricted</v>
      </c>
      <c r="I75" s="51" t="str">
        <f>IFERROR(IF(DOHealth!P3="","",HYPERLINK(DOHealth!P3,IF(LEN(DOHealth!P3)&gt;45,LEFT(DOHealth!P3,42)&amp;"...",DOHealth!P3))),"")</f>
        <v>-</v>
      </c>
    </row>
    <row r="76" spans="1:9" ht="216" x14ac:dyDescent="0.25">
      <c r="A76" s="49" t="str">
        <f>IFERROR(IF(DOHealth!A4="","",DOHealth!A4),"")</f>
        <v>DOHealth_2_1</v>
      </c>
      <c r="B76" s="50" t="str">
        <f>IFERROR(IF(DOHealth!B4="","",DOHealth!B4),"")</f>
        <v>อัตราป่วยด้วยโรคความดัน เบาหวาน หลอดเลือดหัวใจต่อประชากรแสนคน</v>
      </c>
      <c r="C76" s="50" t="str">
        <f>IFERROR(IF(DOHealth!A4="","",DOHealth!C4&amp;CHAR(10)&amp;DOHealth!D4&amp;CHAR(10)&amp;DOHealth!E4),"")</f>
        <v>Forward-looking
Vulnerability
SENSITIVITY</v>
      </c>
      <c r="D76" s="50" t="str">
        <f>IFERROR(IF(DOHealth!F4="","",DOHealth!F4),"")</f>
        <v>Drought (ภัยแล้ง); Flood (อุทกภัย); Heat (คลื่นความร้อน)</v>
      </c>
      <c r="E76" s="50" t="str">
        <f>IFERROR(IF(DOHealth!I4="","",DOHealth!I4),"")</f>
        <v>1960-2014; 2015-2040; 2041-2060; 2061-2080; 2081-2100</v>
      </c>
      <c r="F76" s="50" t="str">
        <f>IFERROR(IF(DOHealth!K4="","",DOHealth!K4),"")</f>
        <v>Annual</v>
      </c>
      <c r="G76" s="50" t="str">
        <f>IFERROR(IF(DOHealth!A4="","",DOHealth!L4&amp;" / "&amp;DOHealth!M4),"")</f>
        <v>National / Province</v>
      </c>
      <c r="H76" s="50" t="str">
        <f>IFERROR(IF(DOHealth!A4="","",DOHealth!N4&amp;" / "&amp;DOHealth!O4),"")</f>
        <v>CSV / Restricted</v>
      </c>
      <c r="I76" s="51" t="str">
        <f>IFERROR(IF(DOHealth!P4="","",HYPERLINK(DOHealth!P4,IF(LEN(DOHealth!P4)&gt;45,LEFT(DOHealth!P4,42)&amp;"...",DOHealth!P4))),"")</f>
        <v>-</v>
      </c>
    </row>
    <row r="77" spans="1:9" ht="24" x14ac:dyDescent="0.25">
      <c r="A77" s="57" t="s">
        <v>18</v>
      </c>
      <c r="B77" s="57"/>
      <c r="C77" s="57"/>
      <c r="D77" s="57"/>
      <c r="E77" s="57"/>
      <c r="F77" s="57"/>
      <c r="G77" s="57"/>
      <c r="H77" s="57"/>
      <c r="I77" s="57"/>
    </row>
    <row r="78" spans="1:9" ht="72" x14ac:dyDescent="0.25">
      <c r="A78" s="49" t="str">
        <f>IFERROR(IF(DOPA!A2="","",DOPA!A2),"")</f>
        <v>DOPA_1_1</v>
      </c>
      <c r="B78" s="50" t="str">
        <f>IFERROR(IF(DOPA!B2="","",DOPA!B2),"")</f>
        <v>จำนวนประชากร</v>
      </c>
      <c r="C78" s="50" t="str">
        <f>IFERROR(IF(DOPA!A2="","",DOPA!C2&amp;CHAR(10)&amp;DOPA!D2&amp;CHAR(10)&amp;DOPA!E2),"")</f>
        <v>Forward-looking
Exposure
EXPOSED_ASSET</v>
      </c>
      <c r="D78" s="50" t="str">
        <f>IFERROR(IF(DOPA!F2="","",DOPA!F2),"")</f>
        <v>Cross-cutting (ทุกภัย)</v>
      </c>
      <c r="E78" s="50" t="str">
        <f>IFERROR(IF(DOPA!I2="","",DOPA!I2),"")</f>
        <v>1993-2025</v>
      </c>
      <c r="F78" s="50" t="str">
        <f>IFERROR(IF(DOPA!K2="","",DOPA!K2),"")</f>
        <v>Annual</v>
      </c>
      <c r="G78" s="50" t="str">
        <f>IFERROR(IF(DOPA!A2="","",DOPA!L2&amp;" / "&amp;DOPA!M2),"")</f>
        <v>National / Mooban</v>
      </c>
      <c r="H78" s="50" t="str">
        <f>IFERROR(IF(DOPA!A2="","",DOPA!N2&amp;" / "&amp;DOPA!O2),"")</f>
        <v>CSV / Restricted</v>
      </c>
      <c r="I78" s="51" t="str">
        <f>IFERROR(IF(DOPA!P2="","",HYPERLINK(DOPA!P2,IF(LEN(DOPA!P2)&gt;45,LEFT(DOPA!P2,42)&amp;"...",DOPA!P2))),"")</f>
        <v>https://stat.bora.dopa.go.th/new_stat/webP...</v>
      </c>
    </row>
    <row r="79" spans="1:9" ht="72" x14ac:dyDescent="0.25">
      <c r="A79" s="49" t="str">
        <f>IFERROR(IF(DOPA!A3="","",DOPA!A3),"")</f>
        <v>DOPA_1_2</v>
      </c>
      <c r="B79" s="50" t="str">
        <f>IFERROR(IF(DOPA!B3="","",DOPA!B3),"")</f>
        <v>จุดหมู่บ้าน</v>
      </c>
      <c r="C79" s="50" t="str">
        <f>IFERROR(IF(DOPA!A3="","",DOPA!C3&amp;CHAR(10)&amp;DOPA!D3&amp;CHAR(10)&amp;DOPA!E3),"")</f>
        <v>Forward-looking
Exposure
EXPOSED_ASSET</v>
      </c>
      <c r="D79" s="50" t="str">
        <f>IFERROR(IF(DOPA!F3="","",DOPA!F3),"")</f>
        <v>Cross-cutting (ทุกภัย)</v>
      </c>
      <c r="E79" s="50" t="str">
        <f>IFERROR(IF(DOPA!I3="","",DOPA!I3),"")</f>
        <v>-</v>
      </c>
      <c r="F79" s="50" t="str">
        <f>IFERROR(IF(DOPA!K3="","",DOPA!K3),"")</f>
        <v>Annual</v>
      </c>
      <c r="G79" s="50" t="str">
        <f>IFERROR(IF(DOPA!A3="","",DOPA!L3&amp;" / "&amp;DOPA!M3),"")</f>
        <v>National / Mooban</v>
      </c>
      <c r="H79" s="50" t="str">
        <f>IFERROR(IF(DOPA!A3="","",DOPA!N3&amp;" / "&amp;DOPA!O3),"")</f>
        <v>Shapefile / Restricted</v>
      </c>
      <c r="I79" s="51" t="str">
        <f>IFERROR(IF(DOPA!P3="","",HYPERLINK(DOPA!P3,IF(LEN(DOPA!P3)&gt;45,LEFT(DOPA!P3,42)&amp;"...",DOPA!P3))),"")</f>
        <v>https://www.dopa.go.th/</v>
      </c>
    </row>
    <row r="80" spans="1:9" ht="72" x14ac:dyDescent="0.25">
      <c r="A80" s="49" t="str">
        <f>IFERROR(IF(DOPA!A4="","",DOPA!A4),"")</f>
        <v>DOPA_1_3</v>
      </c>
      <c r="B80" s="50" t="str">
        <f>IFERROR(IF(DOPA!B4="","",DOPA!B4),"")</f>
        <v>ขอบเขตการปกครอง</v>
      </c>
      <c r="C80" s="50" t="str">
        <f>IFERROR(IF(DOPA!A4="","",DOPA!C4&amp;CHAR(10)&amp;DOPA!D4&amp;CHAR(10)&amp;DOPA!E4),"")</f>
        <v>Spatial Unit
Spatial Unit
SPATIAL_UNIT</v>
      </c>
      <c r="D80" s="50" t="str">
        <f>IFERROR(IF(DOPA!F4="","",DOPA!F4),"")</f>
        <v>Cross-cutting (ทุกภัย)</v>
      </c>
      <c r="E80" s="50" t="str">
        <f>IFERROR(IF(DOPA!I4="","",DOPA!I4),"")</f>
        <v>Unknown</v>
      </c>
      <c r="F80" s="50" t="str">
        <f>IFERROR(IF(DOPA!K4="","",DOPA!K4),"")</f>
        <v>-</v>
      </c>
      <c r="G80" s="50" t="str">
        <f>IFERROR(IF(DOPA!A4="","",DOPA!L4&amp;" / "&amp;DOPA!M4),"")</f>
        <v>National / Tambon</v>
      </c>
      <c r="H80" s="50" t="str">
        <f>IFERROR(IF(DOPA!A4="","",DOPA!N4&amp;" / "&amp;DOPA!O4),"")</f>
        <v>GeoJSON / Restricted</v>
      </c>
      <c r="I80" s="51" t="str">
        <f>IFERROR(IF(DOPA!P4="","",HYPERLINK(DOPA!P4,IF(LEN(DOPA!P4)&gt;45,LEFT(DOPA!P4,42)&amp;"...",DOPA!P4))),"")</f>
        <v>https://www.dopa.go.th/</v>
      </c>
    </row>
    <row r="81" spans="1:9" ht="216" x14ac:dyDescent="0.25">
      <c r="A81" s="49" t="str">
        <f>IFERROR(IF(DOPA!A5="","",DOPA!A5),"")</f>
        <v>DOPA_2_1</v>
      </c>
      <c r="B81" s="50" t="str">
        <f>IFERROR(IF(DOPA!B5="","",DOPA!B5),"")</f>
        <v>จำนวนครัวเรือนในขอบเขตเทศบาล</v>
      </c>
      <c r="C81" s="50" t="str">
        <f>IFERROR(IF(DOPA!A5="","",DOPA!C5&amp;CHAR(10)&amp;DOPA!D5&amp;CHAR(10)&amp;DOPA!E5),"")</f>
        <v>Forward-looking
Vulnerability
SENSITIVITY</v>
      </c>
      <c r="D81" s="50" t="str">
        <f>IFERROR(IF(DOPA!F5="","",DOPA!F5),"")</f>
        <v>Drought (ภัยแล้ง); Flood (อุทกภัย); Heat (คลื่นความร้อน)</v>
      </c>
      <c r="E81" s="50" t="str">
        <f>IFERROR(IF(DOPA!I5="","",DOPA!I5),"")</f>
        <v>1960-2014; 2015-2040; 2041-2060; 2061-2080; 2081-2100</v>
      </c>
      <c r="F81" s="50" t="str">
        <f>IFERROR(IF(DOPA!K5="","",DOPA!K5),"")</f>
        <v>Annual</v>
      </c>
      <c r="G81" s="50" t="str">
        <f>IFERROR(IF(DOPA!A5="","",DOPA!L5&amp;" / "&amp;DOPA!M5),"")</f>
        <v>National / Province</v>
      </c>
      <c r="H81" s="50" t="str">
        <f>IFERROR(IF(DOPA!A5="","",DOPA!N5&amp;" / "&amp;DOPA!O5),"")</f>
        <v>CSV / Restricted</v>
      </c>
      <c r="I81" s="51" t="str">
        <f>IFERROR(IF(DOPA!P5="","",HYPERLINK(DOPA!P5,IF(LEN(DOPA!P5)&gt;45,LEFT(DOPA!P5,42)&amp;"...",DOPA!P5))),"")</f>
        <v>-</v>
      </c>
    </row>
    <row r="82" spans="1:9" ht="24" x14ac:dyDescent="0.25">
      <c r="A82" s="57" t="s">
        <v>19</v>
      </c>
      <c r="B82" s="57"/>
      <c r="C82" s="57"/>
      <c r="D82" s="57"/>
      <c r="E82" s="57"/>
      <c r="F82" s="57"/>
      <c r="G82" s="57"/>
      <c r="H82" s="57"/>
      <c r="I82" s="57"/>
    </row>
    <row r="83" spans="1:9" ht="96" x14ac:dyDescent="0.25">
      <c r="A83" s="49" t="str">
        <f>IFERROR(IF(DOT!A2="","",DOT!A2),"")</f>
        <v>DOT_1_1</v>
      </c>
      <c r="B83" s="50" t="str">
        <f>IFERROR(IF(DOT!B2="","",DOT!B2),"")</f>
        <v>จำนวนที่พัก (โรงแรม รีสอร์ต ฯลฯ) — กรมการท่องเที่ยว/ททท.</v>
      </c>
      <c r="C83" s="50" t="str">
        <f>IFERROR(IF(DOT!A2="","",DOT!C2&amp;CHAR(10)&amp;DOT!D2&amp;CHAR(10)&amp;DOT!E2),"")</f>
        <v>Forward-looking
Exposure
EXPOSED_ASSET</v>
      </c>
      <c r="D83" s="50" t="str">
        <f>IFERROR(IF(DOT!F2="","",DOT!F2),"")</f>
        <v>Cross-cutting (ทุกภัย)</v>
      </c>
      <c r="E83" s="50" t="str">
        <f>IFERROR(IF(DOT!I2="","",DOT!I2),"")</f>
        <v>Up to 2025</v>
      </c>
      <c r="F83" s="50" t="str">
        <f>IFERROR(IF(DOT!K2="","",DOT!K2),"")</f>
        <v>Annual</v>
      </c>
      <c r="G83" s="50" t="str">
        <f>IFERROR(IF(DOT!A2="","",DOT!L2&amp;" / "&amp;DOT!M2),"")</f>
        <v>National / Point</v>
      </c>
      <c r="H83" s="50" t="str">
        <f>IFERROR(IF(DOT!A2="","",DOT!N2&amp;" / "&amp;DOT!O2),"")</f>
        <v>Shapefile / Vector; API / Web Service / Restricted</v>
      </c>
      <c r="I83" s="51" t="str">
        <f>IFERROR(IF(DOT!P2="","",HYPERLINK(DOT!P2,IF(LEN(DOT!P2)&gt;45,LEFT(DOT!P2,42)&amp;"...",DOT!P2))),"")</f>
        <v>https://www.dot.go.th/pages/140</v>
      </c>
    </row>
    <row r="84" spans="1:9" ht="216" x14ac:dyDescent="0.25">
      <c r="A84" s="49" t="str">
        <f>IFERROR(IF(DOT!A3="","",DOT!A3),"")</f>
        <v>DOT_2_1</v>
      </c>
      <c r="B84" s="50" t="str">
        <f>IFERROR(IF(DOT!B3="","",DOT!B3),"")</f>
        <v>จำนวนที่พัก (โรงแรม รีสอร์ต ฯลฯ)</v>
      </c>
      <c r="C84" s="50" t="str">
        <f>IFERROR(IF(DOT!A3="","",DOT!C3&amp;CHAR(10)&amp;DOT!D3&amp;CHAR(10)&amp;DOT!E3),"")</f>
        <v>Forward-looking
Exposure
EXPOSED_ASSET</v>
      </c>
      <c r="D84" s="50" t="str">
        <f>IFERROR(IF(DOT!F3="","",DOT!F3),"")</f>
        <v>Drought (ภัยแล้ง); Flood (อุทกภัย)</v>
      </c>
      <c r="E84" s="50" t="str">
        <f>IFERROR(IF(DOT!I3="","",DOT!I3),"")</f>
        <v>1960-2014; 2015-2040; 2041-2060; 2061-2080; 2081-2100</v>
      </c>
      <c r="F84" s="50" t="str">
        <f>IFERROR(IF(DOT!K3="","",DOT!K3),"")</f>
        <v>Annual</v>
      </c>
      <c r="G84" s="50" t="str">
        <f>IFERROR(IF(DOT!A3="","",DOT!L3&amp;" / "&amp;DOT!M3),"")</f>
        <v>National / Point</v>
      </c>
      <c r="H84" s="50" t="str">
        <f>IFERROR(IF(DOT!A3="","",DOT!N3&amp;" / "&amp;DOT!O3),"")</f>
        <v>CSV / Restricted</v>
      </c>
      <c r="I84" s="51" t="str">
        <f>IFERROR(IF(DOT!P3="","",HYPERLINK(DOT!P3,IF(LEN(DOT!P3)&gt;45,LEFT(DOT!P3,42)&amp;"...",DOT!P3))),"")</f>
        <v>-</v>
      </c>
    </row>
    <row r="85" spans="1:9" ht="216" x14ac:dyDescent="0.25">
      <c r="A85" s="49" t="str">
        <f>IFERROR(IF(DOT!A4="","",DOT!A4),"")</f>
        <v>DOT_2_2</v>
      </c>
      <c r="B85" s="50" t="str">
        <f>IFERROR(IF(DOT!B4="","",DOT!B4),"")</f>
        <v>จำนวนแหล่งท่องเที่ยวประเภทน้ำตก</v>
      </c>
      <c r="C85" s="50" t="str">
        <f>IFERROR(IF(DOT!A4="","",DOT!C4&amp;CHAR(10)&amp;DOT!D4&amp;CHAR(10)&amp;DOT!E4),"")</f>
        <v>Forward-looking
Exposure
EXPOSED_ASSET</v>
      </c>
      <c r="D85" s="50" t="str">
        <f>IFERROR(IF(DOT!F4="","",DOT!F4),"")</f>
        <v>Drought (ภัยแล้ง); Flood (อุทกภัย)</v>
      </c>
      <c r="E85" s="50" t="str">
        <f>IFERROR(IF(DOT!I4="","",DOT!I4),"")</f>
        <v>1960-2014; 2015-2040; 2041-2060; 2061-2080; 2081-2100</v>
      </c>
      <c r="F85" s="50" t="str">
        <f>IFERROR(IF(DOT!K4="","",DOT!K4),"")</f>
        <v>Annual</v>
      </c>
      <c r="G85" s="50" t="str">
        <f>IFERROR(IF(DOT!A4="","",DOT!L4&amp;" / "&amp;DOT!M4),"")</f>
        <v>National / Point</v>
      </c>
      <c r="H85" s="50" t="str">
        <f>IFERROR(IF(DOT!A4="","",DOT!N4&amp;" / "&amp;DOT!O4),"")</f>
        <v>CSV / Restricted</v>
      </c>
      <c r="I85" s="51" t="str">
        <f>IFERROR(IF(DOT!P4="","",HYPERLINK(DOT!P4,IF(LEN(DOT!P4)&gt;45,LEFT(DOT!P4,42)&amp;"...",DOT!P4))),"")</f>
        <v>-</v>
      </c>
    </row>
    <row r="86" spans="1:9" ht="216" x14ac:dyDescent="0.25">
      <c r="A86" s="49" t="str">
        <f>IFERROR(IF(DOT!A5="","",DOT!A5),"")</f>
        <v>DOT_2_3</v>
      </c>
      <c r="B86" s="50" t="str">
        <f>IFERROR(IF(DOT!B5="","",DOT!B5),"")</f>
        <v>จำนวนแหล่งท่องเที่ยวประเภททะเล ชายฝั่ง และเกาะ</v>
      </c>
      <c r="C86" s="50" t="str">
        <f>IFERROR(IF(DOT!A5="","",DOT!C5&amp;CHAR(10)&amp;DOT!D5&amp;CHAR(10)&amp;DOT!E5),"")</f>
        <v>Forward-looking
Exposure
EXPOSED_ASSET</v>
      </c>
      <c r="D86" s="50" t="str">
        <f>IFERROR(IF(DOT!F5="","",DOT!F5),"")</f>
        <v>Drought (ภัยแล้ง); Flood (อุทกภัย); Heat (คลื่นความร้อน)</v>
      </c>
      <c r="E86" s="50" t="str">
        <f>IFERROR(IF(DOT!I5="","",DOT!I5),"")</f>
        <v>1960-2014; 2015-2040; 2041-2060; 2061-2080; 2081-2100</v>
      </c>
      <c r="F86" s="50" t="str">
        <f>IFERROR(IF(DOT!K5="","",DOT!K5),"")</f>
        <v>Annual</v>
      </c>
      <c r="G86" s="50" t="str">
        <f>IFERROR(IF(DOT!A5="","",DOT!L5&amp;" / "&amp;DOT!M5),"")</f>
        <v>National / Point</v>
      </c>
      <c r="H86" s="50" t="str">
        <f>IFERROR(IF(DOT!A5="","",DOT!N5&amp;" / "&amp;DOT!O5),"")</f>
        <v>CSV / Restricted</v>
      </c>
      <c r="I86" s="51" t="str">
        <f>IFERROR(IF(DOT!P5="","",HYPERLINK(DOT!P5,IF(LEN(DOT!P5)&gt;45,LEFT(DOT!P5,42)&amp;"...",DOT!P5))),"")</f>
        <v>-</v>
      </c>
    </row>
    <row r="87" spans="1:9" ht="216" x14ac:dyDescent="0.25">
      <c r="A87" s="49" t="str">
        <f>IFERROR(IF(DOT!A6="","",DOT!A6),"")</f>
        <v>DOT_2_4</v>
      </c>
      <c r="B87" s="50" t="str">
        <f>IFERROR(IF(DOT!B6="","",DOT!B6),"")</f>
        <v>แหล่งท่องเที่ยวที่มีความเสื่อมโทรม</v>
      </c>
      <c r="C87" s="50" t="str">
        <f>IFERROR(IF(DOT!A6="","",DOT!C6&amp;CHAR(10)&amp;DOT!D6&amp;CHAR(10)&amp;DOT!E6),"")</f>
        <v>Forward-looking
Vulnerability
SENSITIVITY</v>
      </c>
      <c r="D87" s="50" t="str">
        <f>IFERROR(IF(DOT!F6="","",DOT!F6),"")</f>
        <v>Flood (อุทกภัย)</v>
      </c>
      <c r="E87" s="50" t="str">
        <f>IFERROR(IF(DOT!I6="","",DOT!I6),"")</f>
        <v>1960-2014; 2015-2040; 2041-2060; 2061-2080; 2081-2100</v>
      </c>
      <c r="F87" s="50" t="str">
        <f>IFERROR(IF(DOT!K6="","",DOT!K6),"")</f>
        <v>Annual</v>
      </c>
      <c r="G87" s="50" t="str">
        <f>IFERROR(IF(DOT!A6="","",DOT!L6&amp;" / "&amp;DOT!M6),"")</f>
        <v>National / Point</v>
      </c>
      <c r="H87" s="50" t="str">
        <f>IFERROR(IF(DOT!A6="","",DOT!N6&amp;" / "&amp;DOT!O6),"")</f>
        <v>CSV / Restricted</v>
      </c>
      <c r="I87" s="51" t="str">
        <f>IFERROR(IF(DOT!P6="","",HYPERLINK(DOT!P6,IF(LEN(DOT!P6)&gt;45,LEFT(DOT!P6,42)&amp;"...",DOT!P6))),"")</f>
        <v>-</v>
      </c>
    </row>
    <row r="88" spans="1:9" ht="216" x14ac:dyDescent="0.25">
      <c r="A88" s="49" t="str">
        <f>IFERROR(IF(DOT!A7="","",DOT!A7),"")</f>
        <v>DOT_2_5</v>
      </c>
      <c r="B88" s="50" t="str">
        <f>IFERROR(IF(DOT!B7="","",DOT!B7),"")</f>
        <v>จำนวนที่พักแรม (โรงแรม รีสอร์ต ฯลฯ) — ทะเบียนที่พักแรม</v>
      </c>
      <c r="C88" s="50" t="str">
        <f>IFERROR(IF(DOT!A7="","",DOT!C7&amp;CHAR(10)&amp;DOT!D7&amp;CHAR(10)&amp;DOT!E7),"")</f>
        <v>Forward-looking
Exposure
EXPOSED_ASSET</v>
      </c>
      <c r="D88" s="50" t="str">
        <f>IFERROR(IF(DOT!F7="","",DOT!F7),"")</f>
        <v>Heat (คลื่นความร้อน)</v>
      </c>
      <c r="E88" s="50" t="str">
        <f>IFERROR(IF(DOT!I7="","",DOT!I7),"")</f>
        <v>1960-2014; 2015-2040; 2041-2060; 2061-2080; 2081-2100</v>
      </c>
      <c r="F88" s="50" t="str">
        <f>IFERROR(IF(DOT!K7="","",DOT!K7),"")</f>
        <v>Annual</v>
      </c>
      <c r="G88" s="50" t="str">
        <f>IFERROR(IF(DOT!A7="","",DOT!L7&amp;" / "&amp;DOT!M7),"")</f>
        <v>National / Point</v>
      </c>
      <c r="H88" s="50" t="str">
        <f>IFERROR(IF(DOT!A7="","",DOT!N7&amp;" / "&amp;DOT!O7),"")</f>
        <v>CSV / Restricted</v>
      </c>
      <c r="I88" s="51" t="str">
        <f>IFERROR(IF(DOT!P7="","",HYPERLINK(DOT!P7,IF(LEN(DOT!P7)&gt;45,LEFT(DOT!P7,42)&amp;"...",DOT!P7))),"")</f>
        <v>-</v>
      </c>
    </row>
    <row r="89" spans="1:9" ht="216" x14ac:dyDescent="0.25">
      <c r="A89" s="49" t="str">
        <f>IFERROR(IF(DOT!A8="","",DOT!A8),"")</f>
        <v>DOT_2_6</v>
      </c>
      <c r="B89" s="50" t="str">
        <f>IFERROR(IF(DOT!B8="","",DOT!B8),"")</f>
        <v>จำนวนที่พักแรม (โรงแรม รีสอร์ต ฯลฯ)</v>
      </c>
      <c r="C89" s="50" t="str">
        <f>IFERROR(IF(DOT!A8="","",DOT!C8&amp;CHAR(10)&amp;DOT!D8&amp;CHAR(10)&amp;DOT!E8),"")</f>
        <v>Forward-looking
Exposure
EXPOSED_ASSET</v>
      </c>
      <c r="D89" s="50" t="str">
        <f>IFERROR(IF(DOT!F8="","",DOT!F8),"")</f>
        <v>Heat (คลื่นความร้อน)</v>
      </c>
      <c r="E89" s="50" t="str">
        <f>IFERROR(IF(DOT!I8="","",DOT!I8),"")</f>
        <v>1960-2014; 2015-2040; 2041-2060; 2061-2080; 2081-2100</v>
      </c>
      <c r="F89" s="50" t="str">
        <f>IFERROR(IF(DOT!K8="","",DOT!K8),"")</f>
        <v>Annual</v>
      </c>
      <c r="G89" s="50" t="str">
        <f>IFERROR(IF(DOT!A8="","",DOT!L8&amp;" / "&amp;DOT!M8),"")</f>
        <v>National / Point</v>
      </c>
      <c r="H89" s="50" t="str">
        <f>IFERROR(IF(DOT!A8="","",DOT!N8&amp;" / "&amp;DOT!O8),"")</f>
        <v>CSV / Restricted</v>
      </c>
      <c r="I89" s="51" t="str">
        <f>IFERROR(IF(DOT!P8="","",HYPERLINK(DOT!P8,IF(LEN(DOT!P8)&gt;45,LEFT(DOT!P8,42)&amp;"...",DOT!P8))),"")</f>
        <v>-</v>
      </c>
    </row>
    <row r="90" spans="1:9" ht="216" x14ac:dyDescent="0.25">
      <c r="A90" s="49" t="str">
        <f>IFERROR(IF(DOT!A9="","",DOT!A9),"")</f>
        <v>DOT_2_7</v>
      </c>
      <c r="B90" s="50" t="str">
        <f>IFERROR(IF(DOT!B9="","",DOT!B9),"")</f>
        <v>จำนวนนักท่องเที่ยวกลุ่มสูงอายุ</v>
      </c>
      <c r="C90" s="50" t="str">
        <f>IFERROR(IF(DOT!A9="","",DOT!C9&amp;CHAR(10)&amp;DOT!D9&amp;CHAR(10)&amp;DOT!E9),"")</f>
        <v>Forward-looking
Vulnerability
SENSITIVITY</v>
      </c>
      <c r="D90" s="50" t="str">
        <f>IFERROR(IF(DOT!F9="","",DOT!F9),"")</f>
        <v>Heat (คลื่นความร้อน)</v>
      </c>
      <c r="E90" s="50" t="str">
        <f>IFERROR(IF(DOT!I9="","",DOT!I9),"")</f>
        <v>1960-2014; 2015-2040; 2041-2060; 2061-2080; 2081-2100</v>
      </c>
      <c r="F90" s="50" t="str">
        <f>IFERROR(IF(DOT!K9="","",DOT!K9),"")</f>
        <v>Annual</v>
      </c>
      <c r="G90" s="50" t="str">
        <f>IFERROR(IF(DOT!A9="","",DOT!L9&amp;" / "&amp;DOT!M9),"")</f>
        <v>National / Point</v>
      </c>
      <c r="H90" s="50" t="str">
        <f>IFERROR(IF(DOT!A9="","",DOT!N9&amp;" / "&amp;DOT!O9),"")</f>
        <v>CSV / Restricted</v>
      </c>
      <c r="I90" s="51" t="str">
        <f>IFERROR(IF(DOT!P9="","",HYPERLINK(DOT!P9,IF(LEN(DOT!P9)&gt;45,LEFT(DOT!P9,42)&amp;"...",DOT!P9))),"")</f>
        <v>-</v>
      </c>
    </row>
    <row r="91" spans="1:9" ht="216" x14ac:dyDescent="0.25">
      <c r="A91" s="49" t="str">
        <f>IFERROR(IF(DOT!A10="","",DOT!A10),"")</f>
        <v>DOT_2_8</v>
      </c>
      <c r="B91" s="50" t="str">
        <f>IFERROR(IF(DOT!B10="","",DOT!B10),"")</f>
        <v>จำนวนแหล่งท่องเที่ยวประเภทที่มนุษย์สร้างขึ้นที่เป็นแหล่งท่องเที่ยวในร่ม เช่น ห้างสรรพสินค้า พิพิธภัณฑ์ ฯลฯ</v>
      </c>
      <c r="C91" s="50" t="str">
        <f>IFERROR(IF(DOT!A10="","",DOT!C10&amp;CHAR(10)&amp;DOT!D10&amp;CHAR(10)&amp;DOT!E10),"")</f>
        <v>Forward-looking
Vulnerability
ADAPTIVE_CAPACITY</v>
      </c>
      <c r="D91" s="50" t="str">
        <f>IFERROR(IF(DOT!F10="","",DOT!F10),"")</f>
        <v>Heat (คลื่นความร้อน)</v>
      </c>
      <c r="E91" s="50" t="str">
        <f>IFERROR(IF(DOT!I10="","",DOT!I10),"")</f>
        <v>1960-2014; 2015-2040; 2041-2060; 2061-2080; 2081-2100</v>
      </c>
      <c r="F91" s="50" t="str">
        <f>IFERROR(IF(DOT!K10="","",DOT!K10),"")</f>
        <v>Annual</v>
      </c>
      <c r="G91" s="50" t="str">
        <f>IFERROR(IF(DOT!A10="","",DOT!L10&amp;" / "&amp;DOT!M10),"")</f>
        <v>National / Point</v>
      </c>
      <c r="H91" s="50" t="str">
        <f>IFERROR(IF(DOT!A10="","",DOT!N10&amp;" / "&amp;DOT!O10),"")</f>
        <v>CSV / Restricted</v>
      </c>
      <c r="I91" s="51" t="str">
        <f>IFERROR(IF(DOT!P10="","",HYPERLINK(DOT!P10,IF(LEN(DOT!P10)&gt;45,LEFT(DOT!P10,42)&amp;"...",DOT!P10))),"")</f>
        <v>-</v>
      </c>
    </row>
    <row r="92" spans="1:9" ht="24" x14ac:dyDescent="0.25">
      <c r="A92" s="57" t="s">
        <v>20</v>
      </c>
      <c r="B92" s="57"/>
      <c r="C92" s="57"/>
      <c r="D92" s="57"/>
      <c r="E92" s="57"/>
      <c r="F92" s="57"/>
      <c r="G92" s="57"/>
      <c r="H92" s="57"/>
      <c r="I92" s="57"/>
    </row>
    <row r="93" spans="1:9" ht="72" x14ac:dyDescent="0.25">
      <c r="A93" s="49" t="str">
        <f>IFERROR(IF(DPT!A2="","",DPT!A2),"")</f>
        <v>DPT_1_1</v>
      </c>
      <c r="B93" s="50" t="str">
        <f>IFERROR(IF(DPT!B2="","",DPT!B2),"")</f>
        <v>แผนที่พื้นที่เสี่ยงน้ำท่วมเพื่อการวางผังเมือง (Flood-prone area planning maps)</v>
      </c>
      <c r="C93" s="50" t="str">
        <f>IFERROR(IF(DPT!A2="","",DPT!C2&amp;CHAR(10)&amp;DPT!D2&amp;CHAR(10)&amp;DPT!E2),"")</f>
        <v>IMPACT (Backward-looking)
Hazard
HAZARD_MAP</v>
      </c>
      <c r="D93" s="50" t="str">
        <f>IFERROR(IF(DPT!F2="","",DPT!F2),"")</f>
        <v>Flood (อุทกภัย)</v>
      </c>
      <c r="E93" s="50" t="str">
        <f>IFERROR(IF(DPT!I2="","",DPT!I2),"")</f>
        <v>-</v>
      </c>
      <c r="F93" s="50" t="str">
        <f>IFERROR(IF(DPT!K2="","",DPT!K2),"")</f>
        <v>Event-based</v>
      </c>
      <c r="G93" s="50" t="str">
        <f>IFERROR(IF(DPT!A2="","",DPT!L2&amp;" / "&amp;DPT!M2),"")</f>
        <v>Basin / -</v>
      </c>
      <c r="H93" s="50" t="str">
        <f>IFERROR(IF(DPT!A2="","",DPT!N2&amp;" / "&amp;DPT!O2),"")</f>
        <v>Shapefile; PDF Report / Restricted</v>
      </c>
      <c r="I93" s="51" t="str">
        <f>IFERROR(IF(DPT!P2="","",HYPERLINK(DPT!P2,IF(LEN(DPT!P2)&gt;45,LEFT(DPT!P2,42)&amp;"...",DPT!P2))),"")</f>
        <v>-</v>
      </c>
    </row>
    <row r="94" spans="1:9" ht="72" x14ac:dyDescent="0.25">
      <c r="A94" s="49" t="str">
        <f>IFERROR(IF(DPT!A3="","",DPT!A3),"")</f>
        <v>DPT_1_2</v>
      </c>
      <c r="B94" s="50" t="str">
        <f>IFERROR(IF(DPT!B3="","",DPT!B3),"")</f>
        <v>ข้อมูลการใช้ประโยชน์ที่ดินจากผังเมือง (Land-use data from town/city plans)</v>
      </c>
      <c r="C94" s="50" t="str">
        <f>IFERROR(IF(DPT!A3="","",DPT!C3&amp;CHAR(10)&amp;DPT!D3&amp;CHAR(10)&amp;DPT!E3),"")</f>
        <v>Spatial Unit
Exposure
EXPOSED_ASSET</v>
      </c>
      <c r="D94" s="50" t="str">
        <f>IFERROR(IF(DPT!F3="","",DPT!F3),"")</f>
        <v>Cross-cutting (ทุกภัย)</v>
      </c>
      <c r="E94" s="50" t="str">
        <f>IFERROR(IF(DPT!I3="","",DPT!I3),"")</f>
        <v>ตามรอบปรับปรุงผังเมือง</v>
      </c>
      <c r="F94" s="50" t="str">
        <f>IFERROR(IF(DPT!K3="","",DPT!K3),"")</f>
        <v>Event-based</v>
      </c>
      <c r="G94" s="50" t="str">
        <f>IFERROR(IF(DPT!A3="","",DPT!L3&amp;" / "&amp;DPT!M3),"")</f>
        <v>Sub-national / ระดับจังหวัด/เมือง</v>
      </c>
      <c r="H94" s="50" t="str">
        <f>IFERROR(IF(DPT!A3="","",DPT!N3&amp;" / "&amp;DPT!O3),"")</f>
        <v>Shapefile; PDF Report / Restricted</v>
      </c>
      <c r="I94" s="51" t="str">
        <f>IFERROR(IF(DPT!P3="","",HYPERLINK(DPT!P3,IF(LEN(DPT!P3)&gt;45,LEFT(DPT!P3,42)&amp;"...",DPT!P3))),"")</f>
        <v>-</v>
      </c>
    </row>
    <row r="95" spans="1:9" ht="96" x14ac:dyDescent="0.25">
      <c r="A95" s="49" t="str">
        <f>IFERROR(IF(DPT!A4="","",DPT!A4),"")</f>
        <v>DPT_1_3</v>
      </c>
      <c r="B95" s="50" t="str">
        <f>IFERROR(IF(DPT!B4="","",DPT!B4),"")</f>
        <v>ข้อมูลอาคารและการใช้ประโยชน์อาคารจากการสำรวจภาคสนาม (Building-use data from field surveys)</v>
      </c>
      <c r="C95" s="50" t="str">
        <f>IFERROR(IF(DPT!A4="","",DPT!C4&amp;CHAR(10)&amp;DPT!D4&amp;CHAR(10)&amp;DPT!E4),"")</f>
        <v>Spatial Unit
Exposure
EXPOSED_ASSET</v>
      </c>
      <c r="D95" s="50" t="str">
        <f>IFERROR(IF(DPT!F4="","",DPT!F4),"")</f>
        <v>Cross-cutting (ทุกภัย)</v>
      </c>
      <c r="E95" s="50" t="str">
        <f>IFERROR(IF(DPT!I4="","",DPT!I4),"")</f>
        <v>-</v>
      </c>
      <c r="F95" s="50" t="str">
        <f>IFERROR(IF(DPT!K4="","",DPT!K4),"")</f>
        <v>Event-based</v>
      </c>
      <c r="G95" s="50" t="str">
        <f>IFERROR(IF(DPT!A4="","",DPT!L4&amp;" / "&amp;DPT!M4),"")</f>
        <v>District / -</v>
      </c>
      <c r="H95" s="50" t="str">
        <f>IFERROR(IF(DPT!A4="","",DPT!N4&amp;" / "&amp;DPT!O4),"")</f>
        <v>Shapefile / Restricted</v>
      </c>
      <c r="I95" s="51" t="str">
        <f>IFERROR(IF(DPT!P4="","",HYPERLINK(DPT!P4,IF(LEN(DPT!P4)&gt;45,LEFT(DPT!P4,42)&amp;"...",DPT!P4))),"")</f>
        <v>-</v>
      </c>
    </row>
    <row r="96" spans="1:9" ht="72" x14ac:dyDescent="0.25">
      <c r="A96" s="49" t="str">
        <f>IFERROR(IF(DPT!A5="","",DPT!A5),"")</f>
        <v>DPT_1_4</v>
      </c>
      <c r="B96" s="50" t="str">
        <f>IFERROR(IF(DPT!B5="","",DPT!B5),"")</f>
        <v>แผนระบบระบายน้ำลุ่มน้ำ (River-basin drainage planning data)</v>
      </c>
      <c r="C96" s="50" t="str">
        <f>IFERROR(IF(DPT!A5="","",DPT!C5&amp;CHAR(10)&amp;DPT!D5&amp;CHAR(10)&amp;DPT!E5),"")</f>
        <v>Adaptation Planning
Response
RESPONSE</v>
      </c>
      <c r="D96" s="50" t="str">
        <f>IFERROR(IF(DPT!F5="","",DPT!F5),"")</f>
        <v>Flood (อุทกภัย)</v>
      </c>
      <c r="E96" s="50" t="str">
        <f>IFERROR(IF(DPT!I5="","",DPT!I5),"")</f>
        <v>-</v>
      </c>
      <c r="F96" s="50" t="str">
        <f>IFERROR(IF(DPT!K5="","",DPT!K5),"")</f>
        <v>Event-based</v>
      </c>
      <c r="G96" s="50" t="str">
        <f>IFERROR(IF(DPT!A5="","",DPT!L5&amp;" / "&amp;DPT!M5),"")</f>
        <v>Basin / -</v>
      </c>
      <c r="H96" s="50" t="str">
        <f>IFERROR(IF(DPT!A5="","",DPT!N5&amp;" / "&amp;DPT!O5),"")</f>
        <v>PDF Report; Shapefile / Restricted</v>
      </c>
      <c r="I96" s="51" t="str">
        <f>IFERROR(IF(DPT!P5="","",HYPERLINK(DPT!P5,IF(LEN(DPT!P5)&gt;45,LEFT(DPT!P5,42)&amp;"...",DPT!P5))),"")</f>
        <v>-</v>
      </c>
    </row>
    <row r="97" spans="1:9" ht="120" x14ac:dyDescent="0.25">
      <c r="A97" s="49" t="str">
        <f>IFERROR(IF(DPT!A6="","",DPT!A6),"")</f>
        <v>DPT_1_5</v>
      </c>
      <c r="B97" s="50" t="str">
        <f>IFERROR(IF(DPT!B6="","",DPT!B6),"")</f>
        <v>แผนที่ความเสี่ยงและแนวทางผังเมืองยืดหยุ่นจากโครงการ Urban-Act (Risk maps &amp; resilient urban planning from Urban-Act project)</v>
      </c>
      <c r="C97" s="50" t="str">
        <f>IFERROR(IF(DPT!A6="","",DPT!C6&amp;CHAR(10)&amp;DPT!D6&amp;CHAR(10)&amp;DPT!E6),"")</f>
        <v>Forward-looking
Risk Metric
RISK_METRIC</v>
      </c>
      <c r="D97" s="50" t="str">
        <f>IFERROR(IF(DPT!F6="","",DPT!F6),"")</f>
        <v>Flood (อุทกภัย); Heat (คลื่นความร้อน)</v>
      </c>
      <c r="E97" s="50" t="str">
        <f>IFERROR(IF(DPT!I6="","",DPT!I6),"")</f>
        <v>-</v>
      </c>
      <c r="F97" s="50" t="str">
        <f>IFERROR(IF(DPT!K6="","",DPT!K6),"")</f>
        <v>Annual</v>
      </c>
      <c r="G97" s="50" t="str">
        <f>IFERROR(IF(DPT!A6="","",DPT!L6&amp;" / "&amp;DPT!M6),"")</f>
        <v>Sub-national / ระดับเมือง (เชียงใหม่ ภูเก็ต)</v>
      </c>
      <c r="H97" s="50" t="str">
        <f>IFERROR(IF(DPT!A6="","",DPT!N6&amp;" / "&amp;DPT!O6),"")</f>
        <v>Shapefile; PDF Report / Restricted</v>
      </c>
      <c r="I97" s="51" t="str">
        <f>IFERROR(IF(DPT!P6="","",HYPERLINK(DPT!P6,IF(LEN(DPT!P6)&gt;45,LEFT(DPT!P6,42)&amp;"...",DPT!P6))),"")</f>
        <v>-</v>
      </c>
    </row>
    <row r="98" spans="1:9" ht="216" x14ac:dyDescent="0.25">
      <c r="A98" s="49" t="str">
        <f>IFERROR(IF(DPT!A7="","",DPT!A7),"")</f>
        <v>DPT_2_1</v>
      </c>
      <c r="B98" s="50" t="str">
        <f>IFERROR(IF(DPT!B7="","",DPT!B7),"")</f>
        <v>พื้นที่เมือง</v>
      </c>
      <c r="C98" s="50" t="str">
        <f>IFERROR(IF(DPT!A7="","",DPT!C7&amp;CHAR(10)&amp;DPT!D7&amp;CHAR(10)&amp;DPT!E7),"")</f>
        <v>Forward-looking
Exposure
EXPOSED_ASSET</v>
      </c>
      <c r="D98" s="50" t="str">
        <f>IFERROR(IF(DPT!F7="","",DPT!F7),"")</f>
        <v>Drought (ภัยแล้ง)</v>
      </c>
      <c r="E98" s="50" t="str">
        <f>IFERROR(IF(DPT!I7="","",DPT!I7),"")</f>
        <v>1960-2014; 2015-2040; 2041-2060; 2061-2080; 2081-2100</v>
      </c>
      <c r="F98" s="50" t="str">
        <f>IFERROR(IF(DPT!K7="","",DPT!K7),"")</f>
        <v>Annual</v>
      </c>
      <c r="G98" s="50" t="str">
        <f>IFERROR(IF(DPT!A7="","",DPT!L7&amp;" / "&amp;DPT!M7),"")</f>
        <v>National / Province</v>
      </c>
      <c r="H98" s="50" t="str">
        <f>IFERROR(IF(DPT!A7="","",DPT!N7&amp;" / "&amp;DPT!O7),"")</f>
        <v>CSV / Restricted</v>
      </c>
      <c r="I98" s="51" t="str">
        <f>IFERROR(IF(DPT!P7="","",HYPERLINK(DPT!P7,IF(LEN(DPT!P7)&gt;45,LEFT(DPT!P7,42)&amp;"...",DPT!P7))),"")</f>
        <v>-</v>
      </c>
    </row>
    <row r="99" spans="1:9" ht="216" x14ac:dyDescent="0.25">
      <c r="A99" s="49" t="str">
        <f>IFERROR(IF(DPT!A8="","",DPT!A8),"")</f>
        <v>DPT_2_2</v>
      </c>
      <c r="B99" s="50" t="str">
        <f>IFERROR(IF(DPT!B8="","",DPT!B8),"")</f>
        <v>โครงสร้างพื้นฐานการระบายน้ำ</v>
      </c>
      <c r="C99" s="50" t="str">
        <f>IFERROR(IF(DPT!A8="","",DPT!C8&amp;CHAR(10)&amp;DPT!D8&amp;CHAR(10)&amp;DPT!E8),"")</f>
        <v>Forward-looking
Exposure
EXPOSED_ASSET</v>
      </c>
      <c r="D99" s="50" t="str">
        <f>IFERROR(IF(DPT!F8="","",DPT!F8),"")</f>
        <v>Flood (อุทกภัย)</v>
      </c>
      <c r="E99" s="50" t="str">
        <f>IFERROR(IF(DPT!I8="","",DPT!I8),"")</f>
        <v>1960-2014; 2015-2040; 2041-2060; 2061-2080; 2081-2100</v>
      </c>
      <c r="F99" s="50" t="str">
        <f>IFERROR(IF(DPT!K8="","",DPT!K8),"")</f>
        <v>Annual</v>
      </c>
      <c r="G99" s="50" t="str">
        <f>IFERROR(IF(DPT!A8="","",DPT!L8&amp;" / "&amp;DPT!M8),"")</f>
        <v>National / Province</v>
      </c>
      <c r="H99" s="50" t="str">
        <f>IFERROR(IF(DPT!A8="","",DPT!N8&amp;" / "&amp;DPT!O8),"")</f>
        <v>CSV / Restricted</v>
      </c>
      <c r="I99" s="51" t="str">
        <f>IFERROR(IF(DPT!P8="","",HYPERLINK(DPT!P8,IF(LEN(DPT!P8)&gt;45,LEFT(DPT!P8,42)&amp;"...",DPT!P8))),"")</f>
        <v>-</v>
      </c>
    </row>
    <row r="100" spans="1:9" ht="216" x14ac:dyDescent="0.25">
      <c r="A100" s="49" t="str">
        <f>IFERROR(IF(DPT!A9="","",DPT!A9),"")</f>
        <v>DPT_2_3</v>
      </c>
      <c r="B100" s="50" t="str">
        <f>IFERROR(IF(DPT!B9="","",DPT!B9),"")</f>
        <v>สัดส่วนของระบบป้องกันน้ำท่วมของพื้นที่เมือง</v>
      </c>
      <c r="C100" s="50" t="str">
        <f>IFERROR(IF(DPT!A9="","",DPT!C9&amp;CHAR(10)&amp;DPT!D9&amp;CHAR(10)&amp;DPT!E9),"")</f>
        <v>Forward-looking
Vulnerability
ADAPTIVE_CAPACITY</v>
      </c>
      <c r="D100" s="50" t="str">
        <f>IFERROR(IF(DPT!F9="","",DPT!F9),"")</f>
        <v>Flood (อุทกภัย)</v>
      </c>
      <c r="E100" s="50" t="str">
        <f>IFERROR(IF(DPT!I9="","",DPT!I9),"")</f>
        <v>1960-2014; 2015-2040; 2041-2060; 2061-2080; 2081-2100</v>
      </c>
      <c r="F100" s="50" t="str">
        <f>IFERROR(IF(DPT!K9="","",DPT!K9),"")</f>
        <v>Annual</v>
      </c>
      <c r="G100" s="50" t="str">
        <f>IFERROR(IF(DPT!A9="","",DPT!L9&amp;" / "&amp;DPT!M9),"")</f>
        <v>National / Province</v>
      </c>
      <c r="H100" s="50" t="str">
        <f>IFERROR(IF(DPT!A9="","",DPT!N9&amp;" / "&amp;DPT!O9),"")</f>
        <v>CSV / Restricted</v>
      </c>
      <c r="I100" s="51" t="str">
        <f>IFERROR(IF(DPT!P9="","",HYPERLINK(DPT!P9,IF(LEN(DPT!P9)&gt;45,LEFT(DPT!P9,42)&amp;"...",DPT!P9))),"")</f>
        <v>-</v>
      </c>
    </row>
    <row r="101" spans="1:9" ht="216" x14ac:dyDescent="0.25">
      <c r="A101" s="49" t="str">
        <f>IFERROR(IF(DPT!A10="","",DPT!A10),"")</f>
        <v>DPT_2_4</v>
      </c>
      <c r="B101" s="50" t="str">
        <f>IFERROR(IF(DPT!B10="","",DPT!B10),"")</f>
        <v>สัดส่วนของจำนวนของระบบป้องกันน้ำท่วมของพื้นที่เมือง (เทศบาล) ในพื้นที่ต่อจำนวนพื้นที่เมืองทั้งหมด</v>
      </c>
      <c r="C101" s="50" t="str">
        <f>IFERROR(IF(DPT!A10="","",DPT!C10&amp;CHAR(10)&amp;DPT!D10&amp;CHAR(10)&amp;DPT!E10),"")</f>
        <v>Forward-looking
Vulnerability
ADAPTIVE_CAPACITY</v>
      </c>
      <c r="D101" s="50" t="str">
        <f>IFERROR(IF(DPT!F10="","",DPT!F10),"")</f>
        <v>Flood (อุทกภัย)</v>
      </c>
      <c r="E101" s="50" t="str">
        <f>IFERROR(IF(DPT!I10="","",DPT!I10),"")</f>
        <v>1960-2014; 2015-2040; 2041-2060; 2061-2080; 2081-2100</v>
      </c>
      <c r="F101" s="50" t="str">
        <f>IFERROR(IF(DPT!K10="","",DPT!K10),"")</f>
        <v>Annual</v>
      </c>
      <c r="G101" s="50" t="str">
        <f>IFERROR(IF(DPT!A10="","",DPT!L10&amp;" / "&amp;DPT!M10),"")</f>
        <v>National / Province</v>
      </c>
      <c r="H101" s="50" t="str">
        <f>IFERROR(IF(DPT!A10="","",DPT!N10&amp;" / "&amp;DPT!O10),"")</f>
        <v>CSV / Restricted</v>
      </c>
      <c r="I101" s="51" t="str">
        <f>IFERROR(IF(DPT!P10="","",HYPERLINK(DPT!P10,IF(LEN(DPT!P10)&gt;45,LEFT(DPT!P10,42)&amp;"...",DPT!P10))),"")</f>
        <v>-</v>
      </c>
    </row>
    <row r="102" spans="1:9" ht="24" x14ac:dyDescent="0.25">
      <c r="A102" s="57" t="s">
        <v>21</v>
      </c>
      <c r="B102" s="57"/>
      <c r="C102" s="57"/>
      <c r="D102" s="57"/>
      <c r="E102" s="57"/>
      <c r="F102" s="57"/>
      <c r="G102" s="57"/>
      <c r="H102" s="57"/>
      <c r="I102" s="57"/>
    </row>
    <row r="103" spans="1:9" ht="216" x14ac:dyDescent="0.25">
      <c r="A103" s="49" t="str">
        <f>IFERROR(IF(DWR!A2="","",DWR!A2),"")</f>
        <v>DWR_1_1</v>
      </c>
      <c r="B103" s="50" t="str">
        <f>IFERROR(IF(DWR!B2="","",DWR!B2),"")</f>
        <v>สถานีเตือนภัยน้ำท่วมล่วงหน้าของกรมทรัพยากรน้ำ</v>
      </c>
      <c r="C103" s="50" t="str">
        <f>IFERROR(IF(DWR!A2="","",DWR!C2&amp;CHAR(10)&amp;DWR!D2&amp;CHAR(10)&amp;DWR!E2),"")</f>
        <v>Forward-looking
Vulnerability
ADAPTIVE_CAPACITY</v>
      </c>
      <c r="D103" s="50" t="str">
        <f>IFERROR(IF(DWR!F2="","",DWR!F2),"")</f>
        <v>Flood (อุทกภัย)</v>
      </c>
      <c r="E103" s="50" t="str">
        <f>IFERROR(IF(DWR!I2="","",DWR!I2),"")</f>
        <v>1960-2014; 2015-2040; 2041-2060; 2061-2080; 2081-2100</v>
      </c>
      <c r="F103" s="50" t="str">
        <f>IFERROR(IF(DWR!K2="","",DWR!K2),"")</f>
        <v>Annual</v>
      </c>
      <c r="G103" s="50" t="str">
        <f>IFERROR(IF(DWR!A2="","",DWR!L2&amp;" / "&amp;DWR!M2),"")</f>
        <v>National / Province</v>
      </c>
      <c r="H103" s="50" t="str">
        <f>IFERROR(IF(DWR!A2="","",DWR!N2&amp;" / "&amp;DWR!O2),"")</f>
        <v>CSV / Restricted</v>
      </c>
      <c r="I103" s="51" t="str">
        <f>IFERROR(IF(DWR!P2="","",HYPERLINK(DWR!P2,IF(LEN(DWR!P2)&gt;45,LEFT(DWR!P2,42)&amp;"...",DWR!P2))),"")</f>
        <v>-</v>
      </c>
    </row>
    <row r="104" spans="1:9" ht="216" x14ac:dyDescent="0.25">
      <c r="A104" s="49" t="str">
        <f>IFERROR(IF(DWR!A3="","",DWR!A3),"")</f>
        <v>DWR_1_2</v>
      </c>
      <c r="B104" s="50" t="str">
        <f>IFERROR(IF(DWR!B3="","",DWR!B3),"")</f>
        <v>จำนวนสถานีเตือนภัยน้ำท่วม</v>
      </c>
      <c r="C104" s="50" t="str">
        <f>IFERROR(IF(DWR!A3="","",DWR!C3&amp;CHAR(10)&amp;DWR!D3&amp;CHAR(10)&amp;DWR!E3),"")</f>
        <v>Forward-looking
Vulnerability
ADAPTIVE_CAPACITY</v>
      </c>
      <c r="D104" s="50" t="str">
        <f>IFERROR(IF(DWR!F3="","",DWR!F3),"")</f>
        <v>Flood (อุทกภัย)</v>
      </c>
      <c r="E104" s="50" t="str">
        <f>IFERROR(IF(DWR!I3="","",DWR!I3),"")</f>
        <v>1960-2014; 2015-2040; 2041-2060; 2061-2080; 2081-2100</v>
      </c>
      <c r="F104" s="50" t="str">
        <f>IFERROR(IF(DWR!K3="","",DWR!K3),"")</f>
        <v>Annual</v>
      </c>
      <c r="G104" s="50" t="str">
        <f>IFERROR(IF(DWR!A3="","",DWR!L3&amp;" / "&amp;DWR!M3),"")</f>
        <v>National / Province</v>
      </c>
      <c r="H104" s="50" t="str">
        <f>IFERROR(IF(DWR!A3="","",DWR!N3&amp;" / "&amp;DWR!O3),"")</f>
        <v>CSV / Restricted</v>
      </c>
      <c r="I104" s="51" t="str">
        <f>IFERROR(IF(DWR!P3="","",HYPERLINK(DWR!P3,IF(LEN(DWR!P3)&gt;45,LEFT(DWR!P3,42)&amp;"...",DWR!P3))),"")</f>
        <v>-</v>
      </c>
    </row>
    <row r="105" spans="1:9" ht="216" x14ac:dyDescent="0.25">
      <c r="A105" s="49" t="str">
        <f>IFERROR(IF(DWR!A4="","",DWR!A4),"")</f>
        <v>DWR_1_3</v>
      </c>
      <c r="B105" s="50" t="str">
        <f>IFERROR(IF(DWR!B4="","",DWR!B4),"")</f>
        <v>ปริมาณน้ำท่าเฉลี่ยรายปี</v>
      </c>
      <c r="C105" s="50" t="str">
        <f>IFERROR(IF(DWR!A4="","",DWR!C4&amp;CHAR(10)&amp;DWR!D4&amp;CHAR(10)&amp;DWR!E4),"")</f>
        <v>Forward-looking
Vulnerability
SENSITIVITY</v>
      </c>
      <c r="D105" s="50" t="str">
        <f>IFERROR(IF(DWR!F4="","",DWR!F4),"")</f>
        <v>Drought (ภัยแล้ง)</v>
      </c>
      <c r="E105" s="50" t="str">
        <f>IFERROR(IF(DWR!I4="","",DWR!I4),"")</f>
        <v>1960-2014; 2015-2040; 2041-2060; 2061-2080; 2081-2100</v>
      </c>
      <c r="F105" s="50" t="str">
        <f>IFERROR(IF(DWR!K4="","",DWR!K4),"")</f>
        <v>Annual</v>
      </c>
      <c r="G105" s="50" t="str">
        <f>IFERROR(IF(DWR!A4="","",DWR!L4&amp;" / "&amp;DWR!M4),"")</f>
        <v>National / Province</v>
      </c>
      <c r="H105" s="50" t="str">
        <f>IFERROR(IF(DWR!A4="","",DWR!N4&amp;" / "&amp;DWR!O4),"")</f>
        <v>CSV / Restricted</v>
      </c>
      <c r="I105" s="51" t="str">
        <f>IFERROR(IF(DWR!P4="","",HYPERLINK(DWR!P4,IF(LEN(DWR!P4)&gt;45,LEFT(DWR!P4,42)&amp;"...",DWR!P4))),"")</f>
        <v>-</v>
      </c>
    </row>
    <row r="106" spans="1:9" ht="216" x14ac:dyDescent="0.25">
      <c r="A106" s="49" t="str">
        <f>IFERROR(IF(DWR!A5="","",DWR!A5),"")</f>
        <v>DWR_1_4</v>
      </c>
      <c r="B106" s="50" t="str">
        <f>IFERROR(IF(DWR!B5="","",DWR!B5),"")</f>
        <v>โครงการพัฒนาแหล่งน้ำ</v>
      </c>
      <c r="C106" s="50" t="str">
        <f>IFERROR(IF(DWR!A5="","",DWR!C5&amp;CHAR(10)&amp;DWR!D5&amp;CHAR(10)&amp;DWR!E5),"")</f>
        <v>Forward-looking
Vulnerability
ADAPTIVE_CAPACITY</v>
      </c>
      <c r="D106" s="50" t="str">
        <f>IFERROR(IF(DWR!F5="","",DWR!F5),"")</f>
        <v>Drought (ภัยแล้ง)</v>
      </c>
      <c r="E106" s="50" t="str">
        <f>IFERROR(IF(DWR!I5="","",DWR!I5),"")</f>
        <v>1960-2014; 2015-2040; 2041-2060; 2061-2080; 2081-2100</v>
      </c>
      <c r="F106" s="50" t="str">
        <f>IFERROR(IF(DWR!K5="","",DWR!K5),"")</f>
        <v>Annual</v>
      </c>
      <c r="G106" s="50" t="str">
        <f>IFERROR(IF(DWR!A5="","",DWR!L5&amp;" / "&amp;DWR!M5),"")</f>
        <v>National / Province</v>
      </c>
      <c r="H106" s="50" t="str">
        <f>IFERROR(IF(DWR!A5="","",DWR!N5&amp;" / "&amp;DWR!O5),"")</f>
        <v>CSV / Restricted</v>
      </c>
      <c r="I106" s="51" t="str">
        <f>IFERROR(IF(DWR!P5="","",HYPERLINK(DWR!P5,IF(LEN(DWR!P5)&gt;45,LEFT(DWR!P5,42)&amp;"...",DWR!P5))),"")</f>
        <v>-</v>
      </c>
    </row>
    <row r="107" spans="1:9" ht="216" x14ac:dyDescent="0.25">
      <c r="A107" s="49" t="str">
        <f>IFERROR(IF(DWR!A6="","",DWR!A6),"")</f>
        <v>DWR_1_5</v>
      </c>
      <c r="B107" s="50" t="str">
        <f>IFERROR(IF(DWR!B6="","",DWR!B6),"")</f>
        <v>โครงการปรับตัวด้านการจัดการน้ำของหน่วยงานรัฐ</v>
      </c>
      <c r="C107" s="50" t="str">
        <f>IFERROR(IF(DWR!A6="","",DWR!C6&amp;CHAR(10)&amp;DWR!D6&amp;CHAR(10)&amp;DWR!E6),"")</f>
        <v>Forward-looking
Vulnerability
ADAPTIVE_CAPACITY</v>
      </c>
      <c r="D107" s="50" t="str">
        <f>IFERROR(IF(DWR!F6="","",DWR!F6),"")</f>
        <v>Drought (ภัยแล้ง)</v>
      </c>
      <c r="E107" s="50" t="str">
        <f>IFERROR(IF(DWR!I6="","",DWR!I6),"")</f>
        <v>1960-2014; 2015-2040; 2041-2060; 2061-2080; 2081-2100</v>
      </c>
      <c r="F107" s="50" t="str">
        <f>IFERROR(IF(DWR!K6="","",DWR!K6),"")</f>
        <v>Annual</v>
      </c>
      <c r="G107" s="50" t="str">
        <f>IFERROR(IF(DWR!A6="","",DWR!L6&amp;" / "&amp;DWR!M6),"")</f>
        <v>National / Province</v>
      </c>
      <c r="H107" s="50" t="str">
        <f>IFERROR(IF(DWR!A6="","",DWR!N6&amp;" / "&amp;DWR!O6),"")</f>
        <v>CSV / Restricted</v>
      </c>
      <c r="I107" s="51" t="str">
        <f>IFERROR(IF(DWR!P6="","",HYPERLINK(DWR!P6,IF(LEN(DWR!P6)&gt;45,LEFT(DWR!P6,42)&amp;"...",DWR!P6))),"")</f>
        <v>-</v>
      </c>
    </row>
    <row r="108" spans="1:9" ht="216" x14ac:dyDescent="0.25">
      <c r="A108" s="49" t="str">
        <f>IFERROR(IF(DWR!A7="","",DWR!A7),"")</f>
        <v>DWR_1_6</v>
      </c>
      <c r="B108" s="50" t="str">
        <f>IFERROR(IF(DWR!B7="","",DWR!B7),"")</f>
        <v>สัดส่วนของจำนวนของระบบแจ้งเตือนภัยน้ำท่วมและดินถล่มของพื้นที่ในพื้นที่ต่อจำนวนพื้นที่เสี่ยงน้ำท่วมและดินถล่ม</v>
      </c>
      <c r="C108" s="50" t="str">
        <f>IFERROR(IF(DWR!A7="","",DWR!C7&amp;CHAR(10)&amp;DWR!D7&amp;CHAR(10)&amp;DWR!E7),"")</f>
        <v>Forward-looking
Vulnerability
ADAPTIVE_CAPACITY</v>
      </c>
      <c r="D108" s="50" t="str">
        <f>IFERROR(IF(DWR!F7="","",DWR!F7),"")</f>
        <v>Flood (อุทกภัย)</v>
      </c>
      <c r="E108" s="50" t="str">
        <f>IFERROR(IF(DWR!I7="","",DWR!I7),"")</f>
        <v>1960-2014; 2015-2040; 2041-2060; 2061-2080; 2081-2100</v>
      </c>
      <c r="F108" s="50" t="str">
        <f>IFERROR(IF(DWR!K7="","",DWR!K7),"")</f>
        <v>Annual</v>
      </c>
      <c r="G108" s="50" t="str">
        <f>IFERROR(IF(DWR!A7="","",DWR!L7&amp;" / "&amp;DWR!M7),"")</f>
        <v>National / Province</v>
      </c>
      <c r="H108" s="50" t="str">
        <f>IFERROR(IF(DWR!A7="","",DWR!N7&amp;" / "&amp;DWR!O7),"")</f>
        <v>CSV / Restricted</v>
      </c>
      <c r="I108" s="51" t="str">
        <f>IFERROR(IF(DWR!P7="","",HYPERLINK(DWR!P7,IF(LEN(DWR!P7)&gt;45,LEFT(DWR!P7,42)&amp;"...",DWR!P7))),"")</f>
        <v>-</v>
      </c>
    </row>
    <row r="109" spans="1:9" ht="216" x14ac:dyDescent="0.25">
      <c r="A109" s="49" t="str">
        <f>IFERROR(IF(DWR!A8="","",DWR!A8),"")</f>
        <v>DWR_1_7</v>
      </c>
      <c r="B109" s="50" t="str">
        <f>IFERROR(IF(DWR!B8="","",DWR!B8),"")</f>
        <v>จำนวนแหล่งน้ำผิวดิน (ขนาดใหญ่ กลาง และเล็ก)</v>
      </c>
      <c r="C109" s="50" t="str">
        <f>IFERROR(IF(DWR!A8="","",DWR!C8&amp;CHAR(10)&amp;DWR!D8&amp;CHAR(10)&amp;DWR!E8),"")</f>
        <v>Forward-looking
Vulnerability
ADAPTIVE_CAPACITY</v>
      </c>
      <c r="D109" s="50" t="str">
        <f>IFERROR(IF(DWR!F8="","",DWR!F8),"")</f>
        <v>Heat (คลื่นความร้อน)</v>
      </c>
      <c r="E109" s="50" t="str">
        <f>IFERROR(IF(DWR!I8="","",DWR!I8),"")</f>
        <v>1960-2014; 2015-2040; 2041-2060; 2061-2080; 2081-2100</v>
      </c>
      <c r="F109" s="50" t="str">
        <f>IFERROR(IF(DWR!K8="","",DWR!K8),"")</f>
        <v>Annual</v>
      </c>
      <c r="G109" s="50" t="str">
        <f>IFERROR(IF(DWR!A8="","",DWR!L8&amp;" / "&amp;DWR!M8),"")</f>
        <v>National / Province</v>
      </c>
      <c r="H109" s="50" t="str">
        <f>IFERROR(IF(DWR!A8="","",DWR!N8&amp;" / "&amp;DWR!O8),"")</f>
        <v>CSV / Restricted</v>
      </c>
      <c r="I109" s="51" t="str">
        <f>IFERROR(IF(DWR!P8="","",HYPERLINK(DWR!P8,IF(LEN(DWR!P8)&gt;45,LEFT(DWR!P8,42)&amp;"...",DWR!P8))),"")</f>
        <v>-</v>
      </c>
    </row>
    <row r="110" spans="1:9" ht="216" x14ac:dyDescent="0.25">
      <c r="A110" s="49" t="str">
        <f>IFERROR(IF(DWR!A9="","",DWR!A9),"")</f>
        <v>DWR_1_8</v>
      </c>
      <c r="B110" s="50" t="str">
        <f>IFERROR(IF(DWR!B9="","",DWR!B9),"")</f>
        <v>สัดส่วนของพื้นที่ผิวน้ำของแหล่งน้ำต่อพื้นที่ทั้งหมด</v>
      </c>
      <c r="C110" s="50" t="str">
        <f>IFERROR(IF(DWR!A9="","",DWR!C9&amp;CHAR(10)&amp;DWR!D9&amp;CHAR(10)&amp;DWR!E9),"")</f>
        <v>Forward-looking
Vulnerability
ADAPTIVE_CAPACITY</v>
      </c>
      <c r="D110" s="50" t="str">
        <f>IFERROR(IF(DWR!F9="","",DWR!F9),"")</f>
        <v>Heat (คลื่นความร้อน)</v>
      </c>
      <c r="E110" s="50" t="str">
        <f>IFERROR(IF(DWR!I9="","",DWR!I9),"")</f>
        <v>1960-2014; 2015-2040; 2041-2060; 2061-2080; 2081-2100</v>
      </c>
      <c r="F110" s="50" t="str">
        <f>IFERROR(IF(DWR!K9="","",DWR!K9),"")</f>
        <v>Annual</v>
      </c>
      <c r="G110" s="50" t="str">
        <f>IFERROR(IF(DWR!A9="","",DWR!L9&amp;" / "&amp;DWR!M9),"")</f>
        <v>National / Province</v>
      </c>
      <c r="H110" s="50" t="str">
        <f>IFERROR(IF(DWR!A9="","",DWR!N9&amp;" / "&amp;DWR!O9),"")</f>
        <v>CSV / Restricted</v>
      </c>
      <c r="I110" s="51" t="str">
        <f>IFERROR(IF(DWR!P9="","",HYPERLINK(DWR!P9,IF(LEN(DWR!P9)&gt;45,LEFT(DWR!P9,42)&amp;"...",DWR!P9))),"")</f>
        <v>-</v>
      </c>
    </row>
    <row r="111" spans="1:9" ht="216" x14ac:dyDescent="0.25">
      <c r="A111" s="49" t="str">
        <f>IFERROR(IF(DWR!A10="","",DWR!A10),"")</f>
        <v>DWR_1_9</v>
      </c>
      <c r="B111" s="50" t="str">
        <f>IFERROR(IF(DWR!B10="","",DWR!B10),"")</f>
        <v>แหล่งน้ำธรรมชาติตื้นเขิน</v>
      </c>
      <c r="C111" s="50" t="str">
        <f>IFERROR(IF(DWR!A10="","",DWR!C10&amp;CHAR(10)&amp;DWR!D10&amp;CHAR(10)&amp;DWR!E10),"")</f>
        <v>Forward-looking
Vulnerability
ADAPTIVE_CAPACITY</v>
      </c>
      <c r="D111" s="50" t="str">
        <f>IFERROR(IF(DWR!F10="","",DWR!F10),"")</f>
        <v>Drought (ภัยแล้ง)</v>
      </c>
      <c r="E111" s="50" t="str">
        <f>IFERROR(IF(DWR!I10="","",DWR!I10),"")</f>
        <v>1960-2014; 2015-2040; 2041-2060; 2061-2080; 2081-2100</v>
      </c>
      <c r="F111" s="50" t="str">
        <f>IFERROR(IF(DWR!K10="","",DWR!K10),"")</f>
        <v>Annual</v>
      </c>
      <c r="G111" s="50" t="str">
        <f>IFERROR(IF(DWR!A10="","",DWR!L10&amp;" / "&amp;DWR!M10),"")</f>
        <v>National / Province</v>
      </c>
      <c r="H111" s="50" t="str">
        <f>IFERROR(IF(DWR!A10="","",DWR!N10&amp;" / "&amp;DWR!O10),"")</f>
        <v>CSV / Restricted</v>
      </c>
      <c r="I111" s="51" t="str">
        <f>IFERROR(IF(DWR!P10="","",HYPERLINK(DWR!P10,IF(LEN(DWR!P10)&gt;45,LEFT(DWR!P10,42)&amp;"...",DWR!P10))),"")</f>
        <v>-</v>
      </c>
    </row>
    <row r="112" spans="1:9" ht="216" x14ac:dyDescent="0.25">
      <c r="A112" s="49" t="str">
        <f>IFERROR(IF(DWR!A11="","",DWR!A11),"")</f>
        <v>DWR_1_10</v>
      </c>
      <c r="B112" s="50" t="str">
        <f>IFERROR(IF(DWR!B11="","",DWR!B11),"")</f>
        <v>จำนวนแหล่งน้ำผิวดิน (รวมทุกขนาด)</v>
      </c>
      <c r="C112" s="50" t="str">
        <f>IFERROR(IF(DWR!A11="","",DWR!C11&amp;CHAR(10)&amp;DWR!D11&amp;CHAR(10)&amp;DWR!E11),"")</f>
        <v>Forward-looking
Vulnerability
ADAPTIVE_CAPACITY</v>
      </c>
      <c r="D112" s="50" t="str">
        <f>IFERROR(IF(DWR!F11="","",DWR!F11),"")</f>
        <v>Heat (คลื่นความร้อน)</v>
      </c>
      <c r="E112" s="50" t="str">
        <f>IFERROR(IF(DWR!I11="","",DWR!I11),"")</f>
        <v>1960-2014; 2015-2040; 2041-2060; 2061-2080; 2081-2100</v>
      </c>
      <c r="F112" s="50" t="str">
        <f>IFERROR(IF(DWR!K11="","",DWR!K11),"")</f>
        <v>Annual</v>
      </c>
      <c r="G112" s="50" t="str">
        <f>IFERROR(IF(DWR!A11="","",DWR!L11&amp;" / "&amp;DWR!M11),"")</f>
        <v>National / Province</v>
      </c>
      <c r="H112" s="50" t="str">
        <f>IFERROR(IF(DWR!A11="","",DWR!N11&amp;" / "&amp;DWR!O11),"")</f>
        <v>CSV / Restricted</v>
      </c>
      <c r="I112" s="51" t="str">
        <f>IFERROR(IF(DWR!P11="","",HYPERLINK(DWR!P11,IF(LEN(DWR!P11)&gt;45,LEFT(DWR!P11,42)&amp;"...",DWR!P11))),"")</f>
        <v>-</v>
      </c>
    </row>
    <row r="113" spans="1:9" ht="24" x14ac:dyDescent="0.25">
      <c r="A113" s="57" t="s">
        <v>22</v>
      </c>
      <c r="B113" s="57"/>
      <c r="C113" s="57"/>
      <c r="D113" s="57"/>
      <c r="E113" s="57"/>
      <c r="F113" s="57"/>
      <c r="G113" s="57"/>
      <c r="H113" s="57"/>
      <c r="I113" s="57"/>
    </row>
    <row r="114" spans="1:9" ht="72" x14ac:dyDescent="0.25">
      <c r="A114" s="49" t="str">
        <f>IFERROR(IF(EPPO!A2="","",EPPO!A2),"")</f>
        <v>EPPO_1_1</v>
      </c>
      <c r="B114" s="50" t="str">
        <f>IFERROR(IF(EPPO!B2="","",EPPO!B2),"")</f>
        <v>ตำแหน่งที่ตั้งโรงไฟฟ้า</v>
      </c>
      <c r="C114" s="50" t="str">
        <f>IFERROR(IF(EPPO!A2="","",EPPO!C2&amp;CHAR(10)&amp;EPPO!D2&amp;CHAR(10)&amp;EPPO!E2),"")</f>
        <v>Forward-looking
Exposure
EXPOSED_ASSET</v>
      </c>
      <c r="D114" s="50" t="str">
        <f>IFERROR(IF(EPPO!F2="","",EPPO!F2),"")</f>
        <v>Cross-cutting (ทุกภัย)</v>
      </c>
      <c r="E114" s="50" t="str">
        <f>IFERROR(IF(EPPO!I2="","",EPPO!I2),"")</f>
        <v>Unknown</v>
      </c>
      <c r="F114" s="50" t="str">
        <f>IFERROR(IF(EPPO!K2="","",EPPO!K2),"")</f>
        <v>Unknown</v>
      </c>
      <c r="G114" s="50" t="str">
        <f>IFERROR(IF(EPPO!A2="","",EPPO!L2&amp;" / "&amp;EPPO!M2),"")</f>
        <v>National / Point</v>
      </c>
      <c r="H114" s="50" t="str">
        <f>IFERROR(IF(EPPO!A2="","",EPPO!N2&amp;" / "&amp;EPPO!O2),"")</f>
        <v>CSV / Restricted</v>
      </c>
      <c r="I114" s="51" t="str">
        <f>IFERROR(IF(EPPO!P2="","",HYPERLINK(EPPO!P2,IF(LEN(EPPO!P2)&gt;45,LEFT(EPPO!P2,42)&amp;"...",EPPO!P2))),"")</f>
        <v>https://www2.eppo.go.th/cdf/data_regional_...</v>
      </c>
    </row>
    <row r="115" spans="1:9" ht="24" x14ac:dyDescent="0.25">
      <c r="A115" s="57" t="s">
        <v>23</v>
      </c>
      <c r="B115" s="57"/>
      <c r="C115" s="57"/>
      <c r="D115" s="57"/>
      <c r="E115" s="57"/>
      <c r="F115" s="57"/>
      <c r="G115" s="57"/>
      <c r="H115" s="57"/>
      <c r="I115" s="57"/>
    </row>
    <row r="116" spans="1:9" ht="72" x14ac:dyDescent="0.25">
      <c r="A116" s="49" t="str">
        <f>IFERROR(IF(FAD!A2="","",FAD!A2),"")</f>
        <v>FAD_1_1</v>
      </c>
      <c r="B116" s="50" t="str">
        <f>IFERROR(IF(FAD!B2="","",FAD!B2),"")</f>
        <v>แหล่งโบราณสถาน</v>
      </c>
      <c r="C116" s="50" t="str">
        <f>IFERROR(IF(FAD!A2="","",FAD!C2&amp;CHAR(10)&amp;FAD!D2&amp;CHAR(10)&amp;FAD!E2),"")</f>
        <v>Forward-looking
Exposure
EXPOSED_ASSET</v>
      </c>
      <c r="D116" s="50" t="str">
        <f>IFERROR(IF(FAD!F2="","",FAD!F2),"")</f>
        <v>Cross-cutting (ทุกภัย)</v>
      </c>
      <c r="E116" s="50" t="str">
        <f>IFERROR(IF(FAD!I2="","",FAD!I2),"")</f>
        <v>Up to 2025</v>
      </c>
      <c r="F116" s="50" t="str">
        <f>IFERROR(IF(FAD!K2="","",FAD!K2),"")</f>
        <v>Annual</v>
      </c>
      <c r="G116" s="50" t="str">
        <f>IFERROR(IF(FAD!A2="","",FAD!L2&amp;" / "&amp;FAD!M2),"")</f>
        <v>National / Point</v>
      </c>
      <c r="H116" s="50" t="str">
        <f>IFERROR(IF(FAD!A2="","",FAD!N2&amp;" / "&amp;FAD!O2),"")</f>
        <v>API / Restricted</v>
      </c>
      <c r="I116" s="51" t="str">
        <f>IFERROR(IF(FAD!P2="","",HYPERLINK(FAD!P2,IF(LEN(FAD!P2)&gt;45,LEFT(FAD!P2,42)&amp;"...",FAD!P2))),"")</f>
        <v>https://gdcatalog.go.th/dataset/gdpublish-...</v>
      </c>
    </row>
    <row r="117" spans="1:9" ht="216" x14ac:dyDescent="0.25">
      <c r="A117" s="49" t="str">
        <f>IFERROR(IF(FAD!A3="","",FAD!A3),"")</f>
        <v>FAD_2_1</v>
      </c>
      <c r="B117" s="50" t="str">
        <f>IFERROR(IF(FAD!B3="","",FAD!B3),"")</f>
        <v>พื้นที่ที่ถูกประกาศเขตเมืองเก่า/อนุรักษ์</v>
      </c>
      <c r="C117" s="50" t="str">
        <f>IFERROR(IF(FAD!A3="","",FAD!C3&amp;CHAR(10)&amp;FAD!D3&amp;CHAR(10)&amp;FAD!E3),"")</f>
        <v>Forward-looking
Exposure
EXPOSED_ASSET</v>
      </c>
      <c r="D117" s="50" t="str">
        <f>IFERROR(IF(FAD!F3="","",FAD!F3),"")</f>
        <v>Flood (อุทกภัย)</v>
      </c>
      <c r="E117" s="50" t="str">
        <f>IFERROR(IF(FAD!I3="","",FAD!I3),"")</f>
        <v>1960-2014; 2015-2040; 2041-2060; 2061-2080; 2081-2100</v>
      </c>
      <c r="F117" s="50" t="str">
        <f>IFERROR(IF(FAD!K3="","",FAD!K3),"")</f>
        <v>Annual</v>
      </c>
      <c r="G117" s="50" t="str">
        <f>IFERROR(IF(FAD!A3="","",FAD!L3&amp;" / "&amp;FAD!M3),"")</f>
        <v>National / Province</v>
      </c>
      <c r="H117" s="50" t="str">
        <f>IFERROR(IF(FAD!A3="","",FAD!N3&amp;" / "&amp;FAD!O3),"")</f>
        <v>CSV / Restricted</v>
      </c>
      <c r="I117" s="51" t="str">
        <f>IFERROR(IF(FAD!P3="","",HYPERLINK(FAD!P3,IF(LEN(FAD!P3)&gt;45,LEFT(FAD!P3,42)&amp;"...",FAD!P3))),"")</f>
        <v>-</v>
      </c>
    </row>
    <row r="118" spans="1:9" ht="216" x14ac:dyDescent="0.25">
      <c r="A118" s="49" t="str">
        <f>IFERROR(IF(FAD!A4="","",FAD!A4),"")</f>
        <v>FAD_2_2</v>
      </c>
      <c r="B118" s="50" t="str">
        <f>IFERROR(IF(FAD!B4="","",FAD!B4),"")</f>
        <v>จำนวนแหล่งท่องเที่ยวประเภทโบราณสถาน ประวัติศาสตร์ ฯลฯ</v>
      </c>
      <c r="C118" s="50" t="str">
        <f>IFERROR(IF(FAD!A4="","",FAD!C4&amp;CHAR(10)&amp;FAD!D4&amp;CHAR(10)&amp;FAD!E4),"")</f>
        <v>Forward-looking
Exposure
EXPOSED_ASSET</v>
      </c>
      <c r="D118" s="50" t="str">
        <f>IFERROR(IF(FAD!F4="","",FAD!F4),"")</f>
        <v>Flood (อุทกภัย)</v>
      </c>
      <c r="E118" s="50" t="str">
        <f>IFERROR(IF(FAD!I4="","",FAD!I4),"")</f>
        <v>1960-2014; 2015-2040; 2041-2060; 2061-2080; 2081-2100</v>
      </c>
      <c r="F118" s="50" t="str">
        <f>IFERROR(IF(FAD!K4="","",FAD!K4),"")</f>
        <v>Annual</v>
      </c>
      <c r="G118" s="50" t="str">
        <f>IFERROR(IF(FAD!A4="","",FAD!L4&amp;" / "&amp;FAD!M4),"")</f>
        <v>National / Point</v>
      </c>
      <c r="H118" s="50" t="str">
        <f>IFERROR(IF(FAD!A4="","",FAD!N4&amp;" / "&amp;FAD!O4),"")</f>
        <v>CSV / Restricted</v>
      </c>
      <c r="I118" s="51" t="str">
        <f>IFERROR(IF(FAD!P4="","",HYPERLINK(FAD!P4,IF(LEN(FAD!P4)&gt;45,LEFT(FAD!P4,42)&amp;"...",FAD!P4))),"")</f>
        <v>-</v>
      </c>
    </row>
    <row r="119" spans="1:9" ht="24" x14ac:dyDescent="0.25">
      <c r="A119" s="57" t="s">
        <v>24</v>
      </c>
      <c r="B119" s="57"/>
      <c r="C119" s="57"/>
      <c r="D119" s="57"/>
      <c r="E119" s="57"/>
      <c r="F119" s="57"/>
      <c r="G119" s="57"/>
      <c r="H119" s="57"/>
      <c r="I119" s="57"/>
    </row>
    <row r="120" spans="1:9" ht="72" x14ac:dyDescent="0.25">
      <c r="A120" s="49" t="str">
        <f>IFERROR(IF(FTI!A2="","",FTI!A2),"")</f>
        <v>FTI_1_1</v>
      </c>
      <c r="B120" s="50" t="str">
        <f>IFERROR(IF(FTI!B2="","",FTI!B2),"")</f>
        <v>ข้อมูลความต้องการใช้น้ำของภาคอุตสาหกรรม (Industrial water demand data)</v>
      </c>
      <c r="C120" s="50" t="str">
        <f>IFERROR(IF(FTI!A2="","",FTI!C2&amp;CHAR(10)&amp;FTI!D2&amp;CHAR(10)&amp;FTI!E2),"")</f>
        <v>IMPACT (Backward-looking)
Exposure
EXPOSED_ASSET</v>
      </c>
      <c r="D120" s="50" t="str">
        <f>IFERROR(IF(FTI!F2="","",FTI!F2),"")</f>
        <v>Drought (ภัยแล้ง)</v>
      </c>
      <c r="E120" s="50" t="str">
        <f>IFERROR(IF(FTI!I2="","",FTI!I2),"")</f>
        <v>Up to 2025</v>
      </c>
      <c r="F120" s="50" t="str">
        <f>IFERROR(IF(FTI!K2="","",FTI!K2),"")</f>
        <v>Annual</v>
      </c>
      <c r="G120" s="50" t="str">
        <f>IFERROR(IF(FTI!A2="","",FTI!L2&amp;" / "&amp;FTI!M2),"")</f>
        <v>Sub-national / Unknown</v>
      </c>
      <c r="H120" s="50" t="str">
        <f>IFERROR(IF(FTI!A2="","",FTI!N2&amp;" / "&amp;FTI!O2),"")</f>
        <v>Database; CSV / Restricted</v>
      </c>
      <c r="I120" s="51" t="str">
        <f>IFERROR(IF(FTI!P2="","",HYPERLINK(FTI!P2,IF(LEN(FTI!P2)&gt;45,LEFT(FTI!P2,42)&amp;"...",FTI!P2))),"")</f>
        <v>-</v>
      </c>
    </row>
    <row r="121" spans="1:9" ht="96" x14ac:dyDescent="0.25">
      <c r="A121" s="49" t="str">
        <f>IFERROR(IF(FTI!A3="","",FTI!A3),"")</f>
        <v>FTI_1_2</v>
      </c>
      <c r="B121" s="50" t="str">
        <f>IFERROR(IF(FTI!B3="","",FTI!B3),"")</f>
        <v>การประเมินความเสี่ยงการขาดแคลนน้ำระยะ 20 ปี (20-year water scarcity risk assessment)</v>
      </c>
      <c r="C121" s="50" t="str">
        <f>IFERROR(IF(FTI!A3="","",FTI!C3&amp;CHAR(10)&amp;FTI!D3&amp;CHAR(10)&amp;FTI!E3),"")</f>
        <v>Forward-looking
Risk Metric
RISK_METRIC</v>
      </c>
      <c r="D121" s="50" t="str">
        <f>IFERROR(IF(FTI!F3="","",FTI!F3),"")</f>
        <v>Drought (ภัยแล้ง)</v>
      </c>
      <c r="E121" s="50" t="str">
        <f>IFERROR(IF(FTI!I3="","",FTI!I3),"")</f>
        <v>Unknown</v>
      </c>
      <c r="F121" s="50" t="str">
        <f>IFERROR(IF(FTI!K3="","",FTI!K3),"")</f>
        <v>Annual</v>
      </c>
      <c r="G121" s="50" t="str">
        <f>IFERROR(IF(FTI!A3="","",FTI!L3&amp;" / "&amp;FTI!M3),"")</f>
        <v>Sub-national / Unknown</v>
      </c>
      <c r="H121" s="50" t="str">
        <f>IFERROR(IF(FTI!A3="","",FTI!N3&amp;" / "&amp;FTI!O3),"")</f>
        <v>PDF Report / Restricted</v>
      </c>
      <c r="I121" s="51" t="str">
        <f>IFERROR(IF(FTI!P3="","",HYPERLINK(FTI!P3,IF(LEN(FTI!P3)&gt;45,LEFT(FTI!P3,42)&amp;"...",FTI!P3))),"")</f>
        <v>-</v>
      </c>
    </row>
    <row r="122" spans="1:9" ht="24" x14ac:dyDescent="0.25">
      <c r="A122" s="57" t="s">
        <v>25</v>
      </c>
      <c r="B122" s="57"/>
      <c r="C122" s="57"/>
      <c r="D122" s="57"/>
      <c r="E122" s="57"/>
      <c r="F122" s="57"/>
      <c r="G122" s="57"/>
      <c r="H122" s="57"/>
      <c r="I122" s="57"/>
    </row>
    <row r="123" spans="1:9" ht="72" x14ac:dyDescent="0.25">
      <c r="A123" s="49" t="str">
        <f>IFERROR(IF(GISTDA!A2="","",GISTDA!A2),"")</f>
        <v>GISTDA_1_1</v>
      </c>
      <c r="B123" s="50" t="str">
        <f>IFERROR(IF(GISTDA!B2="","",GISTDA!B2),"")</f>
        <v>ข้อมูลขอบเขตพื้นที่เผาไหม้ (ล่าสุด) ในช่วง 365 วัน v1.2</v>
      </c>
      <c r="C123" s="50" t="str">
        <f>IFERROR(IF(GISTDA!A2="","",GISTDA!C2&amp;CHAR(10)&amp;GISTDA!D2&amp;CHAR(10)&amp;GISTDA!E2),"")</f>
        <v>Forward-looking
Hazard
SATELLITE_OBSERVATION</v>
      </c>
      <c r="D123" s="50" t="str">
        <f>IFERROR(IF(GISTDA!F2="","",GISTDA!F2),"")</f>
        <v>Wildfire (ไฟป่า)</v>
      </c>
      <c r="E123" s="50" t="str">
        <f>IFERROR(IF(GISTDA!I2="","",GISTDA!I2),"")</f>
        <v>2025-2026</v>
      </c>
      <c r="F123" s="50" t="str">
        <f>IFERROR(IF(GISTDA!K2="","",GISTDA!K2),"")</f>
        <v>Annual</v>
      </c>
      <c r="G123" s="50" t="str">
        <f>IFERROR(IF(GISTDA!A2="","",GISTDA!L2&amp;" / "&amp;GISTDA!M2),"")</f>
        <v>National / -</v>
      </c>
      <c r="H123" s="50" t="str">
        <f>IFERROR(IF(GISTDA!A2="","",GISTDA!N2&amp;" / "&amp;GISTDA!O2),"")</f>
        <v>API / Web Service / Open</v>
      </c>
      <c r="I123" s="51" t="str">
        <f>IFERROR(IF(GISTDA!P2="","",HYPERLINK(GISTDA!P2,IF(LEN(GISTDA!P2)&gt;45,LEFT(GISTDA!P2,42)&amp;"...",GISTDA!P2))),"")</f>
        <v>https://api-gateway.gistda.or.th/gi-servic...</v>
      </c>
    </row>
    <row r="124" spans="1:9" ht="72" x14ac:dyDescent="0.25">
      <c r="A124" s="49" t="str">
        <f>IFERROR(IF(GISTDA!A3="","",GISTDA!A3),"")</f>
        <v>GISTDA_1_10</v>
      </c>
      <c r="B124" s="50" t="str">
        <f>IFERROR(IF(GISTDA!B3="","",GISTDA!B3),"")</f>
        <v>ข้อมูลพื้นที่ปลูกข้าวรายสองสัปดาห์ (40 เมตร) v2.2</v>
      </c>
      <c r="C124" s="50" t="str">
        <f>IFERROR(IF(GISTDA!A3="","",GISTDA!C3&amp;CHAR(10)&amp;GISTDA!D3&amp;CHAR(10)&amp;GISTDA!E3),"")</f>
        <v>Forward-looking
Exposure
EXPOSED_ASSET</v>
      </c>
      <c r="D124" s="50" t="str">
        <f>IFERROR(IF(GISTDA!F3="","",GISTDA!F3),"")</f>
        <v>Cross-cutting (ทุกภัย)</v>
      </c>
      <c r="E124" s="50">
        <f>IFERROR(IF(GISTDA!I3="","",GISTDA!I3),"")</f>
        <v>2025</v>
      </c>
      <c r="F124" s="50" t="str">
        <f>IFERROR(IF(GISTDA!K3="","",GISTDA!K3),"")</f>
        <v>Bi-weekly</v>
      </c>
      <c r="G124" s="50" t="str">
        <f>IFERROR(IF(GISTDA!A3="","",GISTDA!L3&amp;" / "&amp;GISTDA!M3),"")</f>
        <v>National / 40 m (Grid)</v>
      </c>
      <c r="H124" s="50" t="str">
        <f>IFERROR(IF(GISTDA!A3="","",GISTDA!N3&amp;" / "&amp;GISTDA!O3),"")</f>
        <v>API / Web Service / Open</v>
      </c>
      <c r="I124" s="51" t="str">
        <f>IFERROR(IF(GISTDA!P3="","",HYPERLINK(GISTDA!P3,IF(LEN(GISTDA!P3)&gt;45,LEFT(GISTDA!P3,42)&amp;"...",GISTDA!P3))),"")</f>
        <v>https://api-gateway.gistda.or.th/gi-servic...</v>
      </c>
    </row>
    <row r="125" spans="1:9" ht="72" x14ac:dyDescent="0.25">
      <c r="A125" s="49" t="str">
        <f>IFERROR(IF(GISTDA!A4="","",GISTDA!A4),"")</f>
        <v>GISTDA_1_2</v>
      </c>
      <c r="B125" s="50" t="str">
        <f>IFERROR(IF(GISTDA!B4="","",GISTDA!B4),"")</f>
        <v>ข้อมูลขอบเขตพื้นที่เผาไหม้ (ล่าสุด) v1.2</v>
      </c>
      <c r="C125" s="50" t="str">
        <f>IFERROR(IF(GISTDA!A4="","",GISTDA!C4&amp;CHAR(10)&amp;GISTDA!D4&amp;CHAR(10)&amp;GISTDA!E4),"")</f>
        <v>Forward-looking
Hazard
SATELLITE_OBSERVATION</v>
      </c>
      <c r="D125" s="50" t="str">
        <f>IFERROR(IF(GISTDA!F4="","",GISTDA!F4),"")</f>
        <v>Wildfire (ไฟป่า)</v>
      </c>
      <c r="E125" s="50">
        <f>IFERROR(IF(GISTDA!I4="","",GISTDA!I4),"")</f>
        <v>2025</v>
      </c>
      <c r="F125" s="50" t="str">
        <f>IFERROR(IF(GISTDA!K4="","",GISTDA!K4),"")</f>
        <v>Event-based</v>
      </c>
      <c r="G125" s="50" t="str">
        <f>IFERROR(IF(GISTDA!A4="","",GISTDA!L4&amp;" / "&amp;GISTDA!M4),"")</f>
        <v>National / -</v>
      </c>
      <c r="H125" s="50" t="str">
        <f>IFERROR(IF(GISTDA!A4="","",GISTDA!N4&amp;" / "&amp;GISTDA!O4),"")</f>
        <v>API / Web Service / Open</v>
      </c>
      <c r="I125" s="51" t="str">
        <f>IFERROR(IF(GISTDA!P4="","",HYPERLINK(GISTDA!P4,IF(LEN(GISTDA!P4)&gt;45,LEFT(GISTDA!P4,42)&amp;"...",GISTDA!P4))),"")</f>
        <v>https://api-gateway.gistda.or.th/gi-servic...</v>
      </c>
    </row>
    <row r="126" spans="1:9" ht="72" x14ac:dyDescent="0.25">
      <c r="A126" s="49" t="str">
        <f>IFERROR(IF(GISTDA!A5="","",GISTDA!A5),"")</f>
        <v>GISTDA_1_3</v>
      </c>
      <c r="B126" s="50" t="str">
        <f>IFERROR(IF(GISTDA!B5="","",GISTDA!B5),"")</f>
        <v>ข้อมูลพื้นที่เหมาะสมในการเพาะปลูกพืชเศรษฐกิจ 6 ชนิดตามบริเวณที่ค้นหา v1.1</v>
      </c>
      <c r="C126" s="50" t="str">
        <f>IFERROR(IF(GISTDA!A5="","",GISTDA!C5&amp;CHAR(10)&amp;GISTDA!D5&amp;CHAR(10)&amp;GISTDA!E5),"")</f>
        <v>Forward-looking
Exposure
EXPOSED_ASSET</v>
      </c>
      <c r="D126" s="50" t="str">
        <f>IFERROR(IF(GISTDA!F5="","",GISTDA!F5),"")</f>
        <v>Cross-cutting (ทุกภัย)</v>
      </c>
      <c r="E126" s="50">
        <f>IFERROR(IF(GISTDA!I5="","",GISTDA!I5),"")</f>
        <v>2025</v>
      </c>
      <c r="F126" s="50" t="str">
        <f>IFERROR(IF(GISTDA!K5="","",GISTDA!K5),"")</f>
        <v>Annual</v>
      </c>
      <c r="G126" s="50" t="str">
        <f>IFERROR(IF(GISTDA!A5="","",GISTDA!L5&amp;" / "&amp;GISTDA!M5),"")</f>
        <v>Sub-national / -</v>
      </c>
      <c r="H126" s="50" t="str">
        <f>IFERROR(IF(GISTDA!A5="","",GISTDA!N5&amp;" / "&amp;GISTDA!O5),"")</f>
        <v>API / Web Service / Open</v>
      </c>
      <c r="I126" s="51" t="str">
        <f>IFERROR(IF(GISTDA!P5="","",HYPERLINK(GISTDA!P5,IF(LEN(GISTDA!P5)&gt;45,LEFT(GISTDA!P5,42)&amp;"...",GISTDA!P5))),"")</f>
        <v>https://api-gateway.gistda.or.th/gi-servic...</v>
      </c>
    </row>
    <row r="127" spans="1:9" ht="72" x14ac:dyDescent="0.25">
      <c r="A127" s="49" t="str">
        <f>IFERROR(IF(GISTDA!A6="","",GISTDA!A6),"")</f>
        <v>GISTDA_1_4</v>
      </c>
      <c r="B127" s="50" t="str">
        <f>IFERROR(IF(GISTDA!B6="","",GISTDA!B6),"")</f>
        <v>ข้อมูลพื้นที่ปลูกพืชเศรษฐกิจ 6 ชนิดตามบริเวณที่ค้นหา v2.2</v>
      </c>
      <c r="C127" s="50" t="str">
        <f>IFERROR(IF(GISTDA!A6="","",GISTDA!C6&amp;CHAR(10)&amp;GISTDA!D6&amp;CHAR(10)&amp;GISTDA!E6),"")</f>
        <v>Forward-looking
Exposure
EXPOSED_ASSET</v>
      </c>
      <c r="D127" s="50" t="str">
        <f>IFERROR(IF(GISTDA!F6="","",GISTDA!F6),"")</f>
        <v>Cross-cutting (ทุกภัย)</v>
      </c>
      <c r="E127" s="50">
        <f>IFERROR(IF(GISTDA!I6="","",GISTDA!I6),"")</f>
        <v>2025</v>
      </c>
      <c r="F127" s="50" t="str">
        <f>IFERROR(IF(GISTDA!K6="","",GISTDA!K6),"")</f>
        <v>Annual</v>
      </c>
      <c r="G127" s="50" t="str">
        <f>IFERROR(IF(GISTDA!A6="","",GISTDA!L6&amp;" / "&amp;GISTDA!M6),"")</f>
        <v>Sub-national / 40 m (Grid)</v>
      </c>
      <c r="H127" s="50" t="str">
        <f>IFERROR(IF(GISTDA!A6="","",GISTDA!N6&amp;" / "&amp;GISTDA!O6),"")</f>
        <v>API / Web Service / Open</v>
      </c>
      <c r="I127" s="51" t="str">
        <f>IFERROR(IF(GISTDA!P6="","",HYPERLINK(GISTDA!P6,IF(LEN(GISTDA!P6)&gt;45,LEFT(GISTDA!P6,42)&amp;"...",GISTDA!P6))),"")</f>
        <v>https://api-gateway.gistda.or.th/gi-servic...</v>
      </c>
    </row>
    <row r="128" spans="1:9" ht="72" x14ac:dyDescent="0.25">
      <c r="A128" s="49" t="str">
        <f>IFERROR(IF(GISTDA!A7="","",GISTDA!A7),"")</f>
        <v>GISTDA_1_5</v>
      </c>
      <c r="B128" s="50" t="str">
        <f>IFERROR(IF(GISTDA!B7="","",GISTDA!B7),"")</f>
        <v>ข้อมูลพื้นที่ปลูกปาล์มน้ำมันรายปี (40 เมตร) v2.2</v>
      </c>
      <c r="C128" s="50" t="str">
        <f>IFERROR(IF(GISTDA!A7="","",GISTDA!C7&amp;CHAR(10)&amp;GISTDA!D7&amp;CHAR(10)&amp;GISTDA!E7),"")</f>
        <v>Forward-looking
Exposure
EXPOSED_ASSET</v>
      </c>
      <c r="D128" s="50" t="str">
        <f>IFERROR(IF(GISTDA!F7="","",GISTDA!F7),"")</f>
        <v>Cross-cutting (ทุกภัย)</v>
      </c>
      <c r="E128" s="50">
        <f>IFERROR(IF(GISTDA!I7="","",GISTDA!I7),"")</f>
        <v>2025</v>
      </c>
      <c r="F128" s="50" t="str">
        <f>IFERROR(IF(GISTDA!K7="","",GISTDA!K7),"")</f>
        <v>Annual</v>
      </c>
      <c r="G128" s="50" t="str">
        <f>IFERROR(IF(GISTDA!A7="","",GISTDA!L7&amp;" / "&amp;GISTDA!M7),"")</f>
        <v>National / 40 m (Grid)</v>
      </c>
      <c r="H128" s="50" t="str">
        <f>IFERROR(IF(GISTDA!A7="","",GISTDA!N7&amp;" / "&amp;GISTDA!O7),"")</f>
        <v>API / Web Service / Open</v>
      </c>
      <c r="I128" s="51" t="str">
        <f>IFERROR(IF(GISTDA!P7="","",HYPERLINK(GISTDA!P7,IF(LEN(GISTDA!P7)&gt;45,LEFT(GISTDA!P7,42)&amp;"...",GISTDA!P7))),"")</f>
        <v>https://api-gateway.gistda.or.th/gi-servic...</v>
      </c>
    </row>
    <row r="129" spans="1:9" ht="72" x14ac:dyDescent="0.25">
      <c r="A129" s="49" t="str">
        <f>IFERROR(IF(GISTDA!A8="","",GISTDA!A8),"")</f>
        <v>GISTDA_1_6</v>
      </c>
      <c r="B129" s="50" t="str">
        <f>IFERROR(IF(GISTDA!B8="","",GISTDA!B8),"")</f>
        <v>ข้อมูลพื้นที่ปลูกยางพารารายปี (40 เมตร) v2.2</v>
      </c>
      <c r="C129" s="50" t="str">
        <f>IFERROR(IF(GISTDA!A8="","",GISTDA!C8&amp;CHAR(10)&amp;GISTDA!D8&amp;CHAR(10)&amp;GISTDA!E8),"")</f>
        <v>Forward-looking
Exposure
EXPOSED_ASSET</v>
      </c>
      <c r="D129" s="50" t="str">
        <f>IFERROR(IF(GISTDA!F8="","",GISTDA!F8),"")</f>
        <v>Cross-cutting (ทุกภัย)</v>
      </c>
      <c r="E129" s="50">
        <f>IFERROR(IF(GISTDA!I8="","",GISTDA!I8),"")</f>
        <v>2025</v>
      </c>
      <c r="F129" s="50" t="str">
        <f>IFERROR(IF(GISTDA!K8="","",GISTDA!K8),"")</f>
        <v>Annual</v>
      </c>
      <c r="G129" s="50" t="str">
        <f>IFERROR(IF(GISTDA!A8="","",GISTDA!L8&amp;" / "&amp;GISTDA!M8),"")</f>
        <v>National / 40 m (Grid)</v>
      </c>
      <c r="H129" s="50" t="str">
        <f>IFERROR(IF(GISTDA!A8="","",GISTDA!N8&amp;" / "&amp;GISTDA!O8),"")</f>
        <v>API / Web Service / Open</v>
      </c>
      <c r="I129" s="51" t="str">
        <f>IFERROR(IF(GISTDA!P8="","",HYPERLINK(GISTDA!P8,IF(LEN(GISTDA!P8)&gt;45,LEFT(GISTDA!P8,42)&amp;"...",GISTDA!P8))),"")</f>
        <v>https://api-gateway.gistda.or.th/gi-servic...</v>
      </c>
    </row>
    <row r="130" spans="1:9" ht="72" x14ac:dyDescent="0.25">
      <c r="A130" s="49" t="str">
        <f>IFERROR(IF(GISTDA!A9="","",GISTDA!A9),"")</f>
        <v>GISTDA_1_7</v>
      </c>
      <c r="B130" s="50" t="str">
        <f>IFERROR(IF(GISTDA!B9="","",GISTDA!B9),"")</f>
        <v>ข้อมูลพื้นที่ปลูกอ้อยรายสองสัปดาห์ (40 เมตร) v2.2</v>
      </c>
      <c r="C130" s="50" t="str">
        <f>IFERROR(IF(GISTDA!A9="","",GISTDA!C9&amp;CHAR(10)&amp;GISTDA!D9&amp;CHAR(10)&amp;GISTDA!E9),"")</f>
        <v>Forward-looking
Exposure
EXPOSED_ASSET</v>
      </c>
      <c r="D130" s="50" t="str">
        <f>IFERROR(IF(GISTDA!F9="","",GISTDA!F9),"")</f>
        <v>Cross-cutting (ทุกภัย)</v>
      </c>
      <c r="E130" s="50">
        <f>IFERROR(IF(GISTDA!I9="","",GISTDA!I9),"")</f>
        <v>2025</v>
      </c>
      <c r="F130" s="50" t="str">
        <f>IFERROR(IF(GISTDA!K9="","",GISTDA!K9),"")</f>
        <v>Bi-weekly</v>
      </c>
      <c r="G130" s="50" t="str">
        <f>IFERROR(IF(GISTDA!A9="","",GISTDA!L9&amp;" / "&amp;GISTDA!M9),"")</f>
        <v>National / 40 m (Grid)</v>
      </c>
      <c r="H130" s="50" t="str">
        <f>IFERROR(IF(GISTDA!A9="","",GISTDA!N9&amp;" / "&amp;GISTDA!O9),"")</f>
        <v>API / Web Service / Open</v>
      </c>
      <c r="I130" s="51" t="str">
        <f>IFERROR(IF(GISTDA!P9="","",HYPERLINK(GISTDA!P9,IF(LEN(GISTDA!P9)&gt;45,LEFT(GISTDA!P9,42)&amp;"...",GISTDA!P9))),"")</f>
        <v>https://api-gateway.gistda.or.th/gi-servic...</v>
      </c>
    </row>
    <row r="131" spans="1:9" ht="72" x14ac:dyDescent="0.25">
      <c r="A131" s="49" t="str">
        <f>IFERROR(IF(GISTDA!A10="","",GISTDA!A10),"")</f>
        <v>GISTDA_1_8</v>
      </c>
      <c r="B131" s="50" t="str">
        <f>IFERROR(IF(GISTDA!B10="","",GISTDA!B10),"")</f>
        <v>ข้อมูลพื้นที่ปลูกมันสำปะหลังรายสองสัปดาห์ (40 เมตร) v2.2</v>
      </c>
      <c r="C131" s="50" t="str">
        <f>IFERROR(IF(GISTDA!A10="","",GISTDA!C10&amp;CHAR(10)&amp;GISTDA!D10&amp;CHAR(10)&amp;GISTDA!E10),"")</f>
        <v>Forward-looking
Exposure
EXPOSED_ASSET</v>
      </c>
      <c r="D131" s="50" t="str">
        <f>IFERROR(IF(GISTDA!F10="","",GISTDA!F10),"")</f>
        <v>Cross-cutting (ทุกภัย)</v>
      </c>
      <c r="E131" s="50">
        <f>IFERROR(IF(GISTDA!I10="","",GISTDA!I10),"")</f>
        <v>2025</v>
      </c>
      <c r="F131" s="50" t="str">
        <f>IFERROR(IF(GISTDA!K10="","",GISTDA!K10),"")</f>
        <v>Bi-weekly</v>
      </c>
      <c r="G131" s="50" t="str">
        <f>IFERROR(IF(GISTDA!A10="","",GISTDA!L10&amp;" / "&amp;GISTDA!M10),"")</f>
        <v>National / 40 m (Grid)</v>
      </c>
      <c r="H131" s="50" t="str">
        <f>IFERROR(IF(GISTDA!A10="","",GISTDA!N10&amp;" / "&amp;GISTDA!O10),"")</f>
        <v>API / Web Service / Open</v>
      </c>
      <c r="I131" s="51" t="str">
        <f>IFERROR(IF(GISTDA!P10="","",HYPERLINK(GISTDA!P10,IF(LEN(GISTDA!P10)&gt;45,LEFT(GISTDA!P10,42)&amp;"...",GISTDA!P10))),"")</f>
        <v>https://api-gateway.gistda.or.th/gi-servic...</v>
      </c>
    </row>
    <row r="132" spans="1:9" ht="72" x14ac:dyDescent="0.25">
      <c r="A132" s="49" t="str">
        <f>IFERROR(IF(GISTDA!A11="","",GISTDA!A11),"")</f>
        <v>GISTDA_1_9</v>
      </c>
      <c r="B132" s="50" t="str">
        <f>IFERROR(IF(GISTDA!B11="","",GISTDA!B11),"")</f>
        <v>ข้อมูลพื้นที่ปลูกข้าวโพดรายสองสัปดาห์ (40 เมตร) v2.2</v>
      </c>
      <c r="C132" s="50" t="str">
        <f>IFERROR(IF(GISTDA!A11="","",GISTDA!C11&amp;CHAR(10)&amp;GISTDA!D11&amp;CHAR(10)&amp;GISTDA!E11),"")</f>
        <v>Forward-looking
Exposure
EXPOSED_ASSET</v>
      </c>
      <c r="D132" s="50" t="str">
        <f>IFERROR(IF(GISTDA!F11="","",GISTDA!F11),"")</f>
        <v>Cross-cutting (ทุกภัย)</v>
      </c>
      <c r="E132" s="50">
        <f>IFERROR(IF(GISTDA!I11="","",GISTDA!I11),"")</f>
        <v>2025</v>
      </c>
      <c r="F132" s="50" t="str">
        <f>IFERROR(IF(GISTDA!K11="","",GISTDA!K11),"")</f>
        <v>Bi-weekly</v>
      </c>
      <c r="G132" s="50" t="str">
        <f>IFERROR(IF(GISTDA!A11="","",GISTDA!L11&amp;" / "&amp;GISTDA!M11),"")</f>
        <v>National / 40 m (Grid)</v>
      </c>
      <c r="H132" s="50" t="str">
        <f>IFERROR(IF(GISTDA!A11="","",GISTDA!N11&amp;" / "&amp;GISTDA!O11),"")</f>
        <v>API / Web Service / Open</v>
      </c>
      <c r="I132" s="51" t="str">
        <f>IFERROR(IF(GISTDA!P11="","",HYPERLINK(GISTDA!P11,IF(LEN(GISTDA!P11)&gt;45,LEFT(GISTDA!P11,42)&amp;"...",GISTDA!P11))),"")</f>
        <v>https://api-gateway.gistda.or.th/gi-servic...</v>
      </c>
    </row>
    <row r="133" spans="1:9" ht="72" x14ac:dyDescent="0.25">
      <c r="A133" s="49" t="str">
        <f>IFERROR(IF(GISTDA!A12="","",GISTDA!A12),"")</f>
        <v>GISTDA_2_1</v>
      </c>
      <c r="B133" s="50" t="str">
        <f>IFERROR(IF(GISTDA!B12="","",GISTDA!B12),"")</f>
        <v>อุณหภูมิผิวหน้าน้ำทะเล (SST)</v>
      </c>
      <c r="C133" s="50" t="str">
        <f>IFERROR(IF(GISTDA!A12="","",GISTDA!C12&amp;CHAR(10)&amp;GISTDA!D12&amp;CHAR(10)&amp;GISTDA!E12),"")</f>
        <v>Forward-looking
Climate Driver
CLIMATE_DRIVER</v>
      </c>
      <c r="D133" s="50" t="str">
        <f>IFERROR(IF(GISTDA!F12="","",GISTDA!F12),"")</f>
        <v>Multi-hazard</v>
      </c>
      <c r="E133" s="50" t="str">
        <f>IFERROR(IF(GISTDA!I12="","",GISTDA!I12),"")</f>
        <v>Up to 2026</v>
      </c>
      <c r="F133" s="50" t="str">
        <f>IFERROR(IF(GISTDA!K12="","",GISTDA!K12),"")</f>
        <v>Daily</v>
      </c>
      <c r="G133" s="50" t="str">
        <f>IFERROR(IF(GISTDA!A12="","",GISTDA!L12&amp;" / "&amp;GISTDA!M12),"")</f>
        <v>National / 0.85 km (Grid)</v>
      </c>
      <c r="H133" s="50" t="str">
        <f>IFERROR(IF(GISTDA!A12="","",GISTDA!N12&amp;" / "&amp;GISTDA!O12),"")</f>
        <v>NetCDF / Open</v>
      </c>
      <c r="I133" s="51" t="str">
        <f>IFERROR(IF(GISTDA!P12="","",HYPERLINK(GISTDA!P12,IF(LEN(GISTDA!P12)&gt;45,LEFT(GISTDA!P12,42)&amp;"...",GISTDA!P12))),"")</f>
        <v>https://portal.marineportal.gistda.or.th/c...</v>
      </c>
    </row>
    <row r="134" spans="1:9" ht="72" x14ac:dyDescent="0.25">
      <c r="A134" s="49" t="str">
        <f>IFERROR(IF(GISTDA!A13="","",GISTDA!A13),"")</f>
        <v>GISTDA_2_2</v>
      </c>
      <c r="B134" s="50" t="str">
        <f>IFERROR(IF(GISTDA!B13="","",GISTDA!B13),"")</f>
        <v>แสงไฟในเวลากลางคืน (Nighttime Light)</v>
      </c>
      <c r="C134" s="50" t="str">
        <f>IFERROR(IF(GISTDA!A13="","",GISTDA!C13&amp;CHAR(10)&amp;GISTDA!D13&amp;CHAR(10)&amp;GISTDA!E13),"")</f>
        <v>Forward-looking
Exposure
EXPOSED_ASSET</v>
      </c>
      <c r="D134" s="50" t="str">
        <f>IFERROR(IF(GISTDA!F13="","",GISTDA!F13),"")</f>
        <v>Cross-cutting (ทุกภัย)</v>
      </c>
      <c r="E134" s="50" t="str">
        <f>IFERROR(IF(GISTDA!I13="","",GISTDA!I13),"")</f>
        <v>2016-2025</v>
      </c>
      <c r="F134" s="50" t="str">
        <f>IFERROR(IF(GISTDA!K13="","",GISTDA!K13),"")</f>
        <v>Annual</v>
      </c>
      <c r="G134" s="50" t="str">
        <f>IFERROR(IF(GISTDA!A13="","",GISTDA!L13&amp;" / "&amp;GISTDA!M13),"")</f>
        <v>National / -</v>
      </c>
      <c r="H134" s="50" t="str">
        <f>IFERROR(IF(GISTDA!A13="","",GISTDA!N13&amp;" / "&amp;GISTDA!O13),"")</f>
        <v>Shapefile / Open</v>
      </c>
      <c r="I134" s="51" t="str">
        <f>IFERROR(IF(GISTDA!P13="","",HYPERLINK(GISTDA!P13,IF(LEN(GISTDA!P13)&gt;45,LEFT(GISTDA!P13,42)&amp;"...",GISTDA!P13))),"")</f>
        <v>https://portal.marineportal.gistda.or.th/c...</v>
      </c>
    </row>
    <row r="135" spans="1:9" ht="72" x14ac:dyDescent="0.25">
      <c r="A135" s="49" t="str">
        <f>IFERROR(IF(GISTDA!A14="","",GISTDA!A14),"")</f>
        <v>GISTDA_3_1</v>
      </c>
      <c r="B135" s="50" t="str">
        <f>IFERROR(IF(GISTDA!B14="","",GISTDA!B14),"")</f>
        <v>ขอบเขตน้ำท่วมจากภาพถ่ายดาวเทียม</v>
      </c>
      <c r="C135" s="50" t="str">
        <f>IFERROR(IF(GISTDA!A14="","",GISTDA!C14&amp;CHAR(10)&amp;GISTDA!D14&amp;CHAR(10)&amp;GISTDA!E14),"")</f>
        <v>Forward-looking
Hazard
SATELLITE_OBSERVATION</v>
      </c>
      <c r="D135" s="50" t="str">
        <f>IFERROR(IF(GISTDA!F14="","",GISTDA!F14),"")</f>
        <v>Flood (อุทกภัย)</v>
      </c>
      <c r="E135" s="50" t="str">
        <f>IFERROR(IF(GISTDA!I14="","",GISTDA!I14),"")</f>
        <v>2022-2025</v>
      </c>
      <c r="F135" s="50" t="str">
        <f>IFERROR(IF(GISTDA!K14="","",GISTDA!K14),"")</f>
        <v>Event-based</v>
      </c>
      <c r="G135" s="50" t="str">
        <f>IFERROR(IF(GISTDA!A14="","",GISTDA!L14&amp;" / "&amp;GISTDA!M14),"")</f>
        <v>National / Sub-district</v>
      </c>
      <c r="H135" s="50" t="str">
        <f>IFERROR(IF(GISTDA!A14="","",GISTDA!N14&amp;" / "&amp;GISTDA!O14),"")</f>
        <v>Shapefile / Open</v>
      </c>
      <c r="I135" s="51" t="str">
        <f>IFERROR(IF(GISTDA!P14="","",HYPERLINK(GISTDA!P14,IF(LEN(GISTDA!P14)&gt;45,LEFT(GISTDA!P14,42)&amp;"...",GISTDA!P14))),"")</f>
        <v>https://disaster.gistda.or.th/services/dow...</v>
      </c>
    </row>
    <row r="136" spans="1:9" ht="72" x14ac:dyDescent="0.25">
      <c r="A136" s="49" t="str">
        <f>IFERROR(IF(GISTDA!A15="","",GISTDA!A15),"")</f>
        <v>GISTDA_3_2</v>
      </c>
      <c r="B136" s="50" t="str">
        <f>IFERROR(IF(GISTDA!B15="","",GISTDA!B15),"")</f>
        <v>ข้อมูลจุดความร้อน</v>
      </c>
      <c r="C136" s="50" t="str">
        <f>IFERROR(IF(GISTDA!A15="","",GISTDA!C15&amp;CHAR(10)&amp;GISTDA!D15&amp;CHAR(10)&amp;GISTDA!E15),"")</f>
        <v>Forward-looking
Hazard
SATELLITE_OBSERVATION</v>
      </c>
      <c r="D136" s="50" t="str">
        <f>IFERROR(IF(GISTDA!F15="","",GISTDA!F15),"")</f>
        <v>Flood (อุทกภัย)</v>
      </c>
      <c r="E136" s="50" t="str">
        <f>IFERROR(IF(GISTDA!I15="","",GISTDA!I15),"")</f>
        <v>2022-2026</v>
      </c>
      <c r="F136" s="50" t="str">
        <f>IFERROR(IF(GISTDA!K15="","",GISTDA!K15),"")</f>
        <v>Event-based</v>
      </c>
      <c r="G136" s="50" t="str">
        <f>IFERROR(IF(GISTDA!A15="","",GISTDA!L15&amp;" / "&amp;GISTDA!M15),"")</f>
        <v>National / Sub-district</v>
      </c>
      <c r="H136" s="50" t="str">
        <f>IFERROR(IF(GISTDA!A15="","",GISTDA!N15&amp;" / "&amp;GISTDA!O15),"")</f>
        <v>Shapefile / Open</v>
      </c>
      <c r="I136" s="51" t="str">
        <f>IFERROR(IF(GISTDA!P15="","",HYPERLINK(GISTDA!P15,IF(LEN(GISTDA!P15)&gt;45,LEFT(GISTDA!P15,42)&amp;"...",GISTDA!P15))),"")</f>
        <v>https://disaster.gistda.or.th/services/dow...</v>
      </c>
    </row>
    <row r="137" spans="1:9" ht="72" x14ac:dyDescent="0.25">
      <c r="A137" s="49" t="str">
        <f>IFERROR(IF(GISTDA!A16="","",GISTDA!A16),"")</f>
        <v>GISTDA_3_3</v>
      </c>
      <c r="B137" s="50" t="str">
        <f>IFERROR(IF(GISTDA!B16="","",GISTDA!B16),"")</f>
        <v>ความชื้นในดิน (Soil Moisture Active Passive : SMAP)</v>
      </c>
      <c r="C137" s="50" t="str">
        <f>IFERROR(IF(GISTDA!A16="","",GISTDA!C16&amp;CHAR(10)&amp;GISTDA!D16&amp;CHAR(10)&amp;GISTDA!E16),"")</f>
        <v>Forward-looking
Hazard
SATELLITE_OBSERVATION</v>
      </c>
      <c r="D137" s="50" t="str">
        <f>IFERROR(IF(GISTDA!F16="","",GISTDA!F16),"")</f>
        <v>Drought (ภัยแล้ง)</v>
      </c>
      <c r="E137" s="50" t="str">
        <f>IFERROR(IF(GISTDA!I16="","",GISTDA!I16),"")</f>
        <v>2023-2026</v>
      </c>
      <c r="F137" s="50" t="str">
        <f>IFERROR(IF(GISTDA!K16="","",GISTDA!K16),"")</f>
        <v>Weekly</v>
      </c>
      <c r="G137" s="50" t="str">
        <f>IFERROR(IF(GISTDA!A16="","",GISTDA!L16&amp;" / "&amp;GISTDA!M16),"")</f>
        <v>National / Tambon</v>
      </c>
      <c r="H137" s="50" t="str">
        <f>IFERROR(IF(GISTDA!A16="","",GISTDA!N16&amp;" / "&amp;GISTDA!O16),"")</f>
        <v>Image; CSV / Open</v>
      </c>
      <c r="I137" s="51" t="str">
        <f>IFERROR(IF(GISTDA!P16="","",HYPERLINK(GISTDA!P16,IF(LEN(GISTDA!P16)&gt;45,LEFT(GISTDA!P16,42)&amp;"...",GISTDA!P16))),"")</f>
        <v>https://disaster.gistda.or.th/services/dow...</v>
      </c>
    </row>
    <row r="138" spans="1:9" ht="72" x14ac:dyDescent="0.25">
      <c r="A138" s="49" t="str">
        <f>IFERROR(IF(GISTDA!A17="","",GISTDA!A17),"")</f>
        <v>GISTDA_4_1</v>
      </c>
      <c r="B138" s="50" t="str">
        <f>IFERROR(IF(GISTDA!B17="","",GISTDA!B17),"")</f>
        <v>ภาพถ่ายดาวเทียม</v>
      </c>
      <c r="C138" s="50" t="str">
        <f>IFERROR(IF(GISTDA!A17="","",GISTDA!C17&amp;CHAR(10)&amp;GISTDA!D17&amp;CHAR(10)&amp;GISTDA!E17),"")</f>
        <v>Forward-looking
Hazard
SATELLITE_OBSERVATION</v>
      </c>
      <c r="D138" s="50" t="str">
        <f>IFERROR(IF(GISTDA!F17="","",GISTDA!F17),"")</f>
        <v>Multi-hazard</v>
      </c>
      <c r="E138" s="50" t="str">
        <f>IFERROR(IF(GISTDA!I17="","",GISTDA!I17),"")</f>
        <v>2017-2025</v>
      </c>
      <c r="F138" s="50" t="str">
        <f>IFERROR(IF(GISTDA!K17="","",GISTDA!K17),"")</f>
        <v>Daily; Monthly</v>
      </c>
      <c r="G138" s="50" t="str">
        <f>IFERROR(IF(GISTDA!A17="","",GISTDA!L17&amp;" / "&amp;GISTDA!M17),"")</f>
        <v>National / 2 m (Grid)</v>
      </c>
      <c r="H138" s="50" t="str">
        <f>IFERROR(IF(GISTDA!A17="","",GISTDA!N17&amp;" / "&amp;GISTDA!O17),"")</f>
        <v>NetCDF / Open</v>
      </c>
      <c r="I138" s="51" t="str">
        <f>IFERROR(IF(GISTDA!P17="","",HYPERLINK(GISTDA!P17,IF(LEN(GISTDA!P17)&gt;45,LEFT(GISTDA!P17,42)&amp;"...",GISTDA!P17))),"")</f>
        <v>https://datacube.gistda.or.th/</v>
      </c>
    </row>
    <row r="139" spans="1:9" ht="216" x14ac:dyDescent="0.25">
      <c r="A139" s="49" t="str">
        <f>IFERROR(IF(GISTDA!A18="","",GISTDA!A18),"")</f>
        <v>GISTDA_5_1</v>
      </c>
      <c r="B139" s="50" t="str">
        <f>IFERROR(IF(GISTDA!B18="","",GISTDA!B18),"")</f>
        <v>พื้นที่น้ำท่วมซ้ำซาก</v>
      </c>
      <c r="C139" s="50" t="str">
        <f>IFERROR(IF(GISTDA!A18="","",GISTDA!C18&amp;CHAR(10)&amp;GISTDA!D18&amp;CHAR(10)&amp;GISTDA!E18),"")</f>
        <v>Forward-looking
Hazard
HAZARD_MAP</v>
      </c>
      <c r="D139" s="50" t="str">
        <f>IFERROR(IF(GISTDA!F18="","",GISTDA!F18),"")</f>
        <v>Flood (อุทกภัย)</v>
      </c>
      <c r="E139" s="50" t="str">
        <f>IFERROR(IF(GISTDA!I18="","",GISTDA!I18),"")</f>
        <v>1960-2014; 2015-2040; 2041-2060; 2061-2080; 2081-2100</v>
      </c>
      <c r="F139" s="50" t="str">
        <f>IFERROR(IF(GISTDA!K18="","",GISTDA!K18),"")</f>
        <v>Annual</v>
      </c>
      <c r="G139" s="50" t="str">
        <f>IFERROR(IF(GISTDA!A18="","",GISTDA!L18&amp;" / "&amp;GISTDA!M18),"")</f>
        <v>National / Province</v>
      </c>
      <c r="H139" s="50" t="str">
        <f>IFERROR(IF(GISTDA!A18="","",GISTDA!N18&amp;" / "&amp;GISTDA!O18),"")</f>
        <v>CSV / Restricted</v>
      </c>
      <c r="I139" s="51" t="str">
        <f>IFERROR(IF(GISTDA!P18="","",HYPERLINK(GISTDA!P18,IF(LEN(GISTDA!P18)&gt;45,LEFT(GISTDA!P18,42)&amp;"...",GISTDA!P18))),"")</f>
        <v>-</v>
      </c>
    </row>
    <row r="140" spans="1:9" ht="24" x14ac:dyDescent="0.25">
      <c r="A140" s="57" t="s">
        <v>26</v>
      </c>
      <c r="B140" s="57"/>
      <c r="C140" s="57"/>
      <c r="D140" s="57"/>
      <c r="E140" s="57"/>
      <c r="F140" s="57"/>
      <c r="G140" s="57"/>
      <c r="H140" s="57"/>
      <c r="I140" s="57"/>
    </row>
    <row r="141" spans="1:9" ht="72" x14ac:dyDescent="0.25">
      <c r="A141" s="49" t="str">
        <f>IFERROR(IF(HII!A2="","",HII!A2),"")</f>
        <v>HII_1_1</v>
      </c>
      <c r="B141" s="50" t="str">
        <f>IFERROR(IF(HII!B2="","",HII!B2),"")</f>
        <v>พื้นที่เสี่ยงภัยแล้ง</v>
      </c>
      <c r="C141" s="50" t="str">
        <f>IFERROR(IF(HII!A2="","",HII!C2&amp;CHAR(10)&amp;HII!D2&amp;CHAR(10)&amp;HII!E2),"")</f>
        <v>Forward-looking
Hazard
HAZARD_MAP</v>
      </c>
      <c r="D141" s="50" t="str">
        <f>IFERROR(IF(HII!F2="","",HII!F2),"")</f>
        <v>Drought (ภัยแล้ง)</v>
      </c>
      <c r="E141" s="50" t="str">
        <f>IFERROR(IF(HII!I2="","",HII!I2),"")</f>
        <v>2024-2026</v>
      </c>
      <c r="F141" s="50" t="str">
        <f>IFERROR(IF(HII!K2="","",HII!K2),"")</f>
        <v>Annual</v>
      </c>
      <c r="G141" s="50" t="str">
        <f>IFERROR(IF(HII!A2="","",HII!L2&amp;" / "&amp;HII!M2),"")</f>
        <v>National / Tambon</v>
      </c>
      <c r="H141" s="50" t="str">
        <f>IFERROR(IF(HII!A2="","",HII!N2&amp;" / "&amp;HII!O2),"")</f>
        <v>PDF / Open</v>
      </c>
      <c r="I141" s="51" t="str">
        <f>IFERROR(IF(HII!P2="","",HYPERLINK(HII!P2,IF(LEN(HII!P2)&gt;45,LEFT(HII!P2,42)&amp;"...",HII!P2))),"")</f>
        <v>https://data.hii.or.th/th/dataset/drought-...</v>
      </c>
    </row>
    <row r="142" spans="1:9" ht="216" x14ac:dyDescent="0.25">
      <c r="A142" s="49" t="str">
        <f>IFERROR(IF(HII!A3="","",HII!A3),"")</f>
        <v>HII_2_1</v>
      </c>
      <c r="B142" s="50" t="str">
        <f>IFERROR(IF(HII!B3="","",HII!B3),"")</f>
        <v>ค่าความเครียดของน้ำ</v>
      </c>
      <c r="C142" s="50" t="str">
        <f>IFERROR(IF(HII!A3="","",HII!C3&amp;CHAR(10)&amp;HII!D3&amp;CHAR(10)&amp;HII!E3),"")</f>
        <v>Forward-looking
Exposure
EXPOSED_ASSET</v>
      </c>
      <c r="D142" s="50" t="str">
        <f>IFERROR(IF(HII!F3="","",HII!F3),"")</f>
        <v>Drought (ภัยแล้ง); Heat (คลื่นความร้อน)</v>
      </c>
      <c r="E142" s="50" t="str">
        <f>IFERROR(IF(HII!I3="","",HII!I3),"")</f>
        <v>1960-2014; 2015-2040; 2041-2060; 2061-2080; 2081-2100</v>
      </c>
      <c r="F142" s="50" t="str">
        <f>IFERROR(IF(HII!K3="","",HII!K3),"")</f>
        <v>Annual</v>
      </c>
      <c r="G142" s="50" t="str">
        <f>IFERROR(IF(HII!A3="","",HII!L3&amp;" / "&amp;HII!M3),"")</f>
        <v>National / Province</v>
      </c>
      <c r="H142" s="50" t="str">
        <f>IFERROR(IF(HII!A3="","",HII!N3&amp;" / "&amp;HII!O3),"")</f>
        <v>CSV / Restricted</v>
      </c>
      <c r="I142" s="51" t="str">
        <f>IFERROR(IF(HII!P3="","",HYPERLINK(HII!P3,IF(LEN(HII!P3)&gt;45,LEFT(HII!P3,42)&amp;"...",HII!P3))),"")</f>
        <v>-</v>
      </c>
    </row>
    <row r="143" spans="1:9" ht="216" x14ac:dyDescent="0.25">
      <c r="A143" s="49" t="str">
        <f>IFERROR(IF(HII!A4="","",HII!A4),"")</f>
        <v>HII_2_2</v>
      </c>
      <c r="B143" s="50" t="str">
        <f>IFERROR(IF(HII!B4="","",HII!B4),"")</f>
        <v>เครือข่ายการจัดน้ำชุมชนของ สสน.</v>
      </c>
      <c r="C143" s="50" t="str">
        <f>IFERROR(IF(HII!A4="","",HII!C4&amp;CHAR(10)&amp;HII!D4&amp;CHAR(10)&amp;HII!E4),"")</f>
        <v>Forward-looking
Vulnerability
ADAPTIVE_CAPACITY</v>
      </c>
      <c r="D143" s="50" t="str">
        <f>IFERROR(IF(HII!F4="","",HII!F4),"")</f>
        <v>Drought (ภัยแล้ง)</v>
      </c>
      <c r="E143" s="50" t="str">
        <f>IFERROR(IF(HII!I4="","",HII!I4),"")</f>
        <v>1960-2014; 2015-2040; 2041-2060; 2061-2080; 2081-2100</v>
      </c>
      <c r="F143" s="50" t="str">
        <f>IFERROR(IF(HII!K4="","",HII!K4),"")</f>
        <v>Annual</v>
      </c>
      <c r="G143" s="50" t="str">
        <f>IFERROR(IF(HII!A4="","",HII!L4&amp;" / "&amp;HII!M4),"")</f>
        <v>National / Province</v>
      </c>
      <c r="H143" s="50" t="str">
        <f>IFERROR(IF(HII!A4="","",HII!N4&amp;" / "&amp;HII!O4),"")</f>
        <v>CSV / Restricted</v>
      </c>
      <c r="I143" s="51" t="str">
        <f>IFERROR(IF(HII!P4="","",HYPERLINK(HII!P4,IF(LEN(HII!P4)&gt;45,LEFT(HII!P4,42)&amp;"...",HII!P4))),"")</f>
        <v>-</v>
      </c>
    </row>
    <row r="144" spans="1:9" ht="24" x14ac:dyDescent="0.25">
      <c r="A144" s="57" t="s">
        <v>27</v>
      </c>
      <c r="B144" s="57"/>
      <c r="C144" s="57"/>
      <c r="D144" s="57"/>
      <c r="E144" s="57"/>
      <c r="F144" s="57"/>
      <c r="G144" s="57"/>
      <c r="H144" s="57"/>
      <c r="I144" s="57"/>
    </row>
    <row r="145" spans="1:9" ht="120" x14ac:dyDescent="0.25">
      <c r="A145" s="49" t="str">
        <f>IFERROR(IF(IEAT!A2="","",IEAT!A2),"")</f>
        <v>IEAT_1_1</v>
      </c>
      <c r="B145" s="50" t="str">
        <f>IFERROR(IF(IEAT!B2="","",IEAT!B2),"")</f>
        <v>เขตนิคมอุตสาหกรรม</v>
      </c>
      <c r="C145" s="50" t="str">
        <f>IFERROR(IF(IEAT!A2="","",IEAT!C2&amp;CHAR(10)&amp;IEAT!D2&amp;CHAR(10)&amp;IEAT!E2),"")</f>
        <v>Forward-looking
Exposure
EXPOSED_ASSET</v>
      </c>
      <c r="D145" s="50" t="str">
        <f>IFERROR(IF(IEAT!F2="","",IEAT!F2),"")</f>
        <v>Cross-cutting (ทุกภัย)</v>
      </c>
      <c r="E145" s="50" t="str">
        <f>IFERROR(IF(IEAT!I2="","",IEAT!I2),"")</f>
        <v>Up to 2025</v>
      </c>
      <c r="F145" s="50" t="str">
        <f>IFERROR(IF(IEAT!K2="","",IEAT!K2),"")</f>
        <v>Annual</v>
      </c>
      <c r="G145" s="50" t="str">
        <f>IFERROR(IF(IEAT!A2="","",IEAT!L2&amp;" / "&amp;IEAT!M2),"")</f>
        <v>National / -</v>
      </c>
      <c r="H145" s="50" t="str">
        <f>IFERROR(IF(IEAT!A2="","",IEAT!N2&amp;" / "&amp;IEAT!O2),"")</f>
        <v>Shapefile / Vector; CSV; API / Web Service / Restricted</v>
      </c>
      <c r="I145" s="51" t="str">
        <f>IFERROR(IF(IEAT!P2="","",HYPERLINK(IEAT!P2,IF(LEN(IEAT!P2)&gt;45,LEFT(IEAT!P2,42)&amp;"...",IEAT!P2))),"")</f>
        <v>https://www.ieat.go.th/web-upload/1xff0d34...</v>
      </c>
    </row>
    <row r="146" spans="1:9" ht="24" x14ac:dyDescent="0.25">
      <c r="A146" s="57" t="s">
        <v>28</v>
      </c>
      <c r="B146" s="57"/>
      <c r="C146" s="57"/>
      <c r="D146" s="57"/>
      <c r="E146" s="57"/>
      <c r="F146" s="57"/>
      <c r="G146" s="57"/>
      <c r="H146" s="57"/>
      <c r="I146" s="57"/>
    </row>
    <row r="147" spans="1:9" ht="96" x14ac:dyDescent="0.25">
      <c r="A147" s="49" t="str">
        <f>IFERROR(IF(LDD!A2="","",LDD!A2),"")</f>
        <v>LDD_1_1</v>
      </c>
      <c r="B147" s="50" t="str">
        <f>IFERROR(IF(LDD!B2="","",LDD!B2),"")</f>
        <v>พื้นที่น้ำท่วมซ้ำซาก</v>
      </c>
      <c r="C147" s="50" t="str">
        <f>IFERROR(IF(LDD!A2="","",LDD!C2&amp;CHAR(10)&amp;LDD!D2&amp;CHAR(10)&amp;LDD!E2),"")</f>
        <v>Forward-looking
Hazard
HAZARD_MAP</v>
      </c>
      <c r="D147" s="50" t="str">
        <f>IFERROR(IF(LDD!F2="","",LDD!F2),"")</f>
        <v>Flood (อุทกภัย)</v>
      </c>
      <c r="E147" s="50" t="str">
        <f>IFERROR(IF(LDD!I2="","",LDD!I2),"")</f>
        <v>2014-2019</v>
      </c>
      <c r="F147" s="50" t="str">
        <f>IFERROR(IF(LDD!K2="","",LDD!K2),"")</f>
        <v>Annual</v>
      </c>
      <c r="G147" s="50" t="str">
        <f>IFERROR(IF(LDD!A2="","",LDD!L2&amp;" / "&amp;LDD!M2),"")</f>
        <v>National / -</v>
      </c>
      <c r="H147" s="50" t="str">
        <f>IFERROR(IF(LDD!A2="","",LDD!N2&amp;" / "&amp;LDD!O2),"")</f>
        <v>Shapefile / Vector; API / Web Service / Restricted</v>
      </c>
      <c r="I147" s="51" t="str">
        <f>IFERROR(IF(LDD!P2="","",HYPERLINK(LDD!P2,IF(LEN(LDD!P2)&gt;45,LEFT(LDD!P2,42)&amp;"...",LDD!P2))),"")</f>
        <v>http://sql.ldd.go.th/ldddata/mapsoilH2.html</v>
      </c>
    </row>
    <row r="148" spans="1:9" ht="96" x14ac:dyDescent="0.25">
      <c r="A148" s="49" t="str">
        <f>IFERROR(IF(LDD!A3="","",LDD!A3),"")</f>
        <v>LDD_1_2</v>
      </c>
      <c r="B148" s="50" t="str">
        <f>IFERROR(IF(LDD!B3="","",LDD!B3),"")</f>
        <v>สิ่งปกคลุมดิน</v>
      </c>
      <c r="C148" s="50" t="str">
        <f>IFERROR(IF(LDD!A3="","",LDD!C3&amp;CHAR(10)&amp;LDD!D3&amp;CHAR(10)&amp;LDD!E3),"")</f>
        <v>Forward-looking
Hazard
ENVIRONMENT</v>
      </c>
      <c r="D148" s="50" t="str">
        <f>IFERROR(IF(LDD!F3="","",LDD!F3),"")</f>
        <v>Cross-cutting (ทุกภัย)</v>
      </c>
      <c r="E148" s="50" t="str">
        <f>IFERROR(IF(LDD!I3="","",LDD!I3),"")</f>
        <v>2006-2020</v>
      </c>
      <c r="F148" s="50" t="str">
        <f>IFERROR(IF(LDD!K3="","",LDD!K3),"")</f>
        <v>Annual</v>
      </c>
      <c r="G148" s="50" t="str">
        <f>IFERROR(IF(LDD!A3="","",LDD!L3&amp;" / "&amp;LDD!M3),"")</f>
        <v>National / -</v>
      </c>
      <c r="H148" s="50" t="str">
        <f>IFERROR(IF(LDD!A3="","",LDD!N3&amp;" / "&amp;LDD!O3),"")</f>
        <v>Shapefile / Vector; API / Web Service / Restricted</v>
      </c>
      <c r="I148" s="51" t="str">
        <f>IFERROR(IF(LDD!P3="","",HYPERLINK(LDD!P3,IF(LEN(LDD!P3)&gt;45,LEFT(LDD!P3,42)&amp;"...",LDD!P3))),"")</f>
        <v>http://sql.ldd.go.th/ldddata/mapsoilB1.html</v>
      </c>
    </row>
    <row r="149" spans="1:9" ht="72" x14ac:dyDescent="0.25">
      <c r="A149" s="49" t="str">
        <f>IFERROR(IF(LDD!A4="","",LDD!A4),"")</f>
        <v>LDD_1_3</v>
      </c>
      <c r="B149" s="50" t="str">
        <f>IFERROR(IF(LDD!B4="","",LDD!B4),"")</f>
        <v>พื้นที่แล้งซ้ำซาก</v>
      </c>
      <c r="C149" s="50" t="str">
        <f>IFERROR(IF(LDD!A4="","",LDD!C4&amp;CHAR(10)&amp;LDD!D4&amp;CHAR(10)&amp;LDD!E4),"")</f>
        <v>Forward-looking
Hazard
HAZARD_MAP</v>
      </c>
      <c r="D149" s="50" t="str">
        <f>IFERROR(IF(LDD!F4="","",LDD!F4),"")</f>
        <v>Drought (ภัยแล้ง)</v>
      </c>
      <c r="E149" s="50" t="str">
        <f>IFERROR(IF(LDD!I4="","",LDD!I4),"")</f>
        <v>2014-2019</v>
      </c>
      <c r="F149" s="50" t="str">
        <f>IFERROR(IF(LDD!K4="","",LDD!K4),"")</f>
        <v>Annual</v>
      </c>
      <c r="G149" s="50" t="str">
        <f>IFERROR(IF(LDD!A4="","",LDD!L4&amp;" / "&amp;LDD!M4),"")</f>
        <v>National / Tambon</v>
      </c>
      <c r="H149" s="50" t="str">
        <f>IFERROR(IF(LDD!A4="","",LDD!N4&amp;" / "&amp;LDD!O4),"")</f>
        <v>Shapefile / Vector / Restricted</v>
      </c>
      <c r="I149" s="51" t="str">
        <f>IFERROR(IF(LDD!P4="","",HYPERLINK(LDD!P4,IF(LEN(LDD!P4)&gt;45,LEFT(LDD!P4,42)&amp;"...",LDD!P4))),"")</f>
        <v>http://sql.ldd.go.th/ldddata/mapsoilH3.html</v>
      </c>
    </row>
    <row r="150" spans="1:9" ht="216" x14ac:dyDescent="0.25">
      <c r="A150" s="49" t="str">
        <f>IFERROR(IF(LDD!A5="","",LDD!A5),"")</f>
        <v>LDD_2_1</v>
      </c>
      <c r="B150" s="50" t="str">
        <f>IFERROR(IF(LDD!B5="","",LDD!B5),"")</f>
        <v>พื้นที่เสี่ยงภัยแล้งซ้ำซาก</v>
      </c>
      <c r="C150" s="50" t="str">
        <f>IFERROR(IF(LDD!A5="","",LDD!C5&amp;CHAR(10)&amp;LDD!D5&amp;CHAR(10)&amp;LDD!E5),"")</f>
        <v>Forward-looking
Hazard
HAZARD_MAP</v>
      </c>
      <c r="D150" s="50" t="str">
        <f>IFERROR(IF(LDD!F5="","",LDD!F5),"")</f>
        <v>Drought (ภัยแล้ง); Heat (คลื่นความร้อน)</v>
      </c>
      <c r="E150" s="50" t="str">
        <f>IFERROR(IF(LDD!I5="","",LDD!I5),"")</f>
        <v>1960-2014; 2015-2040; 2041-2060; 2061-2080; 2081-2100</v>
      </c>
      <c r="F150" s="50" t="str">
        <f>IFERROR(IF(LDD!K5="","",LDD!K5),"")</f>
        <v>Annual</v>
      </c>
      <c r="G150" s="50" t="str">
        <f>IFERROR(IF(LDD!A5="","",LDD!L5&amp;" / "&amp;LDD!M5),"")</f>
        <v>National / Province</v>
      </c>
      <c r="H150" s="50" t="str">
        <f>IFERROR(IF(LDD!A5="","",LDD!N5&amp;" / "&amp;LDD!O5),"")</f>
        <v>CSV / Restricted</v>
      </c>
      <c r="I150" s="51" t="str">
        <f>IFERROR(IF(LDD!P5="","",HYPERLINK(LDD!P5,IF(LEN(LDD!P5)&gt;45,LEFT(LDD!P5,42)&amp;"...",LDD!P5))),"")</f>
        <v>-</v>
      </c>
    </row>
    <row r="151" spans="1:9" ht="216" x14ac:dyDescent="0.25">
      <c r="A151" s="49" t="str">
        <f>IFERROR(IF(LDD!A6="","",LDD!A6),"")</f>
        <v>LDD_2_2</v>
      </c>
      <c r="B151" s="50" t="str">
        <f>IFERROR(IF(LDD!B6="","",LDD!B6),"")</f>
        <v>พื้นที่โล่ง</v>
      </c>
      <c r="C151" s="50" t="str">
        <f>IFERROR(IF(LDD!A6="","",LDD!C6&amp;CHAR(10)&amp;LDD!D6&amp;CHAR(10)&amp;LDD!E6),"")</f>
        <v>Forward-looking
Exposure
EXPOSED_ASSET</v>
      </c>
      <c r="D151" s="50" t="str">
        <f>IFERROR(IF(LDD!F6="","",LDD!F6),"")</f>
        <v>Flood (อุทกภัย); Heat (คลื่นความร้อน)</v>
      </c>
      <c r="E151" s="50" t="str">
        <f>IFERROR(IF(LDD!I6="","",LDD!I6),"")</f>
        <v>1960-2014; 2015-2040; 2041-2060; 2061-2080; 2081-2100</v>
      </c>
      <c r="F151" s="50" t="str">
        <f>IFERROR(IF(LDD!K6="","",LDD!K6),"")</f>
        <v>Annual</v>
      </c>
      <c r="G151" s="50" t="str">
        <f>IFERROR(IF(LDD!A6="","",LDD!L6&amp;" / "&amp;LDD!M6),"")</f>
        <v>National / Province</v>
      </c>
      <c r="H151" s="50" t="str">
        <f>IFERROR(IF(LDD!A6="","",LDD!N6&amp;" / "&amp;LDD!O6),"")</f>
        <v>CSV / Restricted</v>
      </c>
      <c r="I151" s="51" t="str">
        <f>IFERROR(IF(LDD!P6="","",HYPERLINK(LDD!P6,IF(LEN(LDD!P6)&gt;45,LEFT(LDD!P6,42)&amp;"...",LDD!P6))),"")</f>
        <v>-</v>
      </c>
    </row>
    <row r="152" spans="1:9" ht="216" x14ac:dyDescent="0.25">
      <c r="A152" s="49" t="str">
        <f>IFERROR(IF(LDD!A7="","",LDD!A7),"")</f>
        <v>LDD_2_3</v>
      </c>
      <c r="B152" s="50" t="str">
        <f>IFERROR(IF(LDD!B7="","",LDD!B7),"")</f>
        <v>พื้นที่เกษตรกรรมในพื้นที่แล้งซ้ำซาก</v>
      </c>
      <c r="C152" s="50" t="str">
        <f>IFERROR(IF(LDD!A7="","",LDD!C7&amp;CHAR(10)&amp;LDD!D7&amp;CHAR(10)&amp;LDD!E7),"")</f>
        <v>Forward-looking
Exposure
EXPOSED_ASSET</v>
      </c>
      <c r="D152" s="50" t="str">
        <f>IFERROR(IF(LDD!F7="","",LDD!F7),"")</f>
        <v>Drought (ภัยแล้ง)</v>
      </c>
      <c r="E152" s="50" t="str">
        <f>IFERROR(IF(LDD!I7="","",LDD!I7),"")</f>
        <v>1960-2014; 2015-2040; 2041-2060; 2061-2080; 2081-2100</v>
      </c>
      <c r="F152" s="50" t="str">
        <f>IFERROR(IF(LDD!K7="","",LDD!K7),"")</f>
        <v>Annual</v>
      </c>
      <c r="G152" s="50" t="str">
        <f>IFERROR(IF(LDD!A7="","",LDD!L7&amp;" / "&amp;LDD!M7),"")</f>
        <v>National / Province</v>
      </c>
      <c r="H152" s="50" t="str">
        <f>IFERROR(IF(LDD!A7="","",LDD!N7&amp;" / "&amp;LDD!O7),"")</f>
        <v>CSV / Restricted</v>
      </c>
      <c r="I152" s="51" t="str">
        <f>IFERROR(IF(LDD!P7="","",HYPERLINK(LDD!P7,IF(LEN(LDD!P7)&gt;45,LEFT(LDD!P7,42)&amp;"...",LDD!P7))),"")</f>
        <v>-</v>
      </c>
    </row>
    <row r="153" spans="1:9" ht="216" x14ac:dyDescent="0.25">
      <c r="A153" s="49" t="str">
        <f>IFERROR(IF(LDD!A8="","",LDD!A8),"")</f>
        <v>LDD_2_4</v>
      </c>
      <c r="B153" s="50" t="str">
        <f>IFERROR(IF(LDD!B8="","",LDD!B8),"")</f>
        <v>ความลาดชัน</v>
      </c>
      <c r="C153" s="50" t="str">
        <f>IFERROR(IF(LDD!A8="","",LDD!C8&amp;CHAR(10)&amp;LDD!D8&amp;CHAR(10)&amp;LDD!E8),"")</f>
        <v>Forward-looking
Vulnerability
SENSITIVITY</v>
      </c>
      <c r="D153" s="50" t="str">
        <f>IFERROR(IF(LDD!F8="","",LDD!F8),"")</f>
        <v>Drought (ภัยแล้ง); Flood (อุทกภัย)</v>
      </c>
      <c r="E153" s="50" t="str">
        <f>IFERROR(IF(LDD!I8="","",LDD!I8),"")</f>
        <v>1960-2014; 2015-2040; 2041-2060; 2061-2080; 2081-2100</v>
      </c>
      <c r="F153" s="50" t="str">
        <f>IFERROR(IF(LDD!K8="","",LDD!K8),"")</f>
        <v>Annual</v>
      </c>
      <c r="G153" s="50" t="str">
        <f>IFERROR(IF(LDD!A8="","",LDD!L8&amp;" / "&amp;LDD!M8),"")</f>
        <v>National / Province</v>
      </c>
      <c r="H153" s="50" t="str">
        <f>IFERROR(IF(LDD!A8="","",LDD!N8&amp;" / "&amp;LDD!O8),"")</f>
        <v>CSV / Restricted</v>
      </c>
      <c r="I153" s="51" t="str">
        <f>IFERROR(IF(LDD!P8="","",HYPERLINK(LDD!P8,IF(LEN(LDD!P8)&gt;45,LEFT(LDD!P8,42)&amp;"...",LDD!P8))),"")</f>
        <v>-</v>
      </c>
    </row>
    <row r="154" spans="1:9" ht="216" x14ac:dyDescent="0.25">
      <c r="A154" s="49" t="str">
        <f>IFERROR(IF(LDD!A9="","",LDD!A9),"")</f>
        <v>LDD_2_5</v>
      </c>
      <c r="B154" s="50" t="str">
        <f>IFERROR(IF(LDD!B9="","",LDD!B9),"")</f>
        <v>ระดับความลึกของดิน</v>
      </c>
      <c r="C154" s="50" t="str">
        <f>IFERROR(IF(LDD!A9="","",LDD!C9&amp;CHAR(10)&amp;LDD!D9&amp;CHAR(10)&amp;LDD!E9),"")</f>
        <v>Forward-looking
Vulnerability
SENSITIVITY</v>
      </c>
      <c r="D154" s="50" t="str">
        <f>IFERROR(IF(LDD!F9="","",LDD!F9),"")</f>
        <v>Drought (ภัยแล้ง); Flood (อุทกภัย); Heat (คลื่นความร้อน)</v>
      </c>
      <c r="E154" s="50" t="str">
        <f>IFERROR(IF(LDD!I9="","",LDD!I9),"")</f>
        <v>1960-2014; 2015-2040; 2041-2060; 2061-2080; 2081-2100</v>
      </c>
      <c r="F154" s="50" t="str">
        <f>IFERROR(IF(LDD!K9="","",LDD!K9),"")</f>
        <v>Annual</v>
      </c>
      <c r="G154" s="50" t="str">
        <f>IFERROR(IF(LDD!A9="","",LDD!L9&amp;" / "&amp;LDD!M9),"")</f>
        <v>National / Province</v>
      </c>
      <c r="H154" s="50" t="str">
        <f>IFERROR(IF(LDD!A9="","",LDD!N9&amp;" / "&amp;LDD!O9),"")</f>
        <v>CSV / Restricted</v>
      </c>
      <c r="I154" s="51" t="str">
        <f>IFERROR(IF(LDD!P9="","",HYPERLINK(LDD!P9,IF(LEN(LDD!P9)&gt;45,LEFT(LDD!P9,42)&amp;"...",LDD!P9))),"")</f>
        <v>-</v>
      </c>
    </row>
    <row r="155" spans="1:9" ht="216" x14ac:dyDescent="0.25">
      <c r="A155" s="49" t="str">
        <f>IFERROR(IF(LDD!A10="","",LDD!A10),"")</f>
        <v>LDD_2_6</v>
      </c>
      <c r="B155" s="50" t="str">
        <f>IFERROR(IF(LDD!B10="","",LDD!B10),"")</f>
        <v>ความสามารถในการกักเก็บน้ำของดิน</v>
      </c>
      <c r="C155" s="50" t="str">
        <f>IFERROR(IF(LDD!A10="","",LDD!C10&amp;CHAR(10)&amp;LDD!D10&amp;CHAR(10)&amp;LDD!E10),"")</f>
        <v>Forward-looking
Vulnerability
SENSITIVITY</v>
      </c>
      <c r="D155" s="50" t="str">
        <f>IFERROR(IF(LDD!F10="","",LDD!F10),"")</f>
        <v>Drought (ภัยแล้ง); Flood (อุทกภัย); Heat (คลื่นความร้อน)</v>
      </c>
      <c r="E155" s="50" t="str">
        <f>IFERROR(IF(LDD!I10="","",LDD!I10),"")</f>
        <v>1960-2014; 2015-2040; 2041-2060; 2061-2080; 2081-2100</v>
      </c>
      <c r="F155" s="50" t="str">
        <f>IFERROR(IF(LDD!K10="","",LDD!K10),"")</f>
        <v>Annual</v>
      </c>
      <c r="G155" s="50" t="str">
        <f>IFERROR(IF(LDD!A10="","",LDD!L10&amp;" / "&amp;LDD!M10),"")</f>
        <v>National / Province</v>
      </c>
      <c r="H155" s="50" t="str">
        <f>IFERROR(IF(LDD!A10="","",LDD!N10&amp;" / "&amp;LDD!O10),"")</f>
        <v>CSV / Restricted</v>
      </c>
      <c r="I155" s="51" t="str">
        <f>IFERROR(IF(LDD!P10="","",HYPERLINK(LDD!P10,IF(LEN(LDD!P10)&gt;45,LEFT(LDD!P10,42)&amp;"...",LDD!P10))),"")</f>
        <v>-</v>
      </c>
    </row>
    <row r="156" spans="1:9" ht="216" x14ac:dyDescent="0.25">
      <c r="A156" s="49" t="str">
        <f>IFERROR(IF(LDD!A11="","",LDD!A11),"")</f>
        <v>LDD_2_7</v>
      </c>
      <c r="B156" s="50" t="str">
        <f>IFERROR(IF(LDD!B11="","",LDD!B11),"")</f>
        <v>พื้นที่เสี่ยงภัยแล้ง</v>
      </c>
      <c r="C156" s="50" t="str">
        <f>IFERROR(IF(LDD!A11="","",LDD!C11&amp;CHAR(10)&amp;LDD!D11&amp;CHAR(10)&amp;LDD!E11),"")</f>
        <v>Forward-looking
Hazard
HAZARD_MAP</v>
      </c>
      <c r="D156" s="50" t="str">
        <f>IFERROR(IF(LDD!F11="","",LDD!F11),"")</f>
        <v>Drought (ภัยแล้ง)</v>
      </c>
      <c r="E156" s="50" t="str">
        <f>IFERROR(IF(LDD!I11="","",LDD!I11),"")</f>
        <v>1960-2014; 2015-2040; 2041-2060; 2061-2080; 2081-2100</v>
      </c>
      <c r="F156" s="50" t="str">
        <f>IFERROR(IF(LDD!K11="","",LDD!K11),"")</f>
        <v>Annual</v>
      </c>
      <c r="G156" s="50" t="str">
        <f>IFERROR(IF(LDD!A11="","",LDD!L11&amp;" / "&amp;LDD!M11),"")</f>
        <v>National / Province</v>
      </c>
      <c r="H156" s="50" t="str">
        <f>IFERROR(IF(LDD!A11="","",LDD!N11&amp;" / "&amp;LDD!O11),"")</f>
        <v>CSV / Restricted</v>
      </c>
      <c r="I156" s="51" t="str">
        <f>IFERROR(IF(LDD!P11="","",HYPERLINK(LDD!P11,IF(LEN(LDD!P11)&gt;45,LEFT(LDD!P11,42)&amp;"...",LDD!P11))),"")</f>
        <v>-</v>
      </c>
    </row>
    <row r="157" spans="1:9" ht="24" x14ac:dyDescent="0.25">
      <c r="A157" s="57" t="s">
        <v>29</v>
      </c>
      <c r="B157" s="57"/>
      <c r="C157" s="57"/>
      <c r="D157" s="57"/>
      <c r="E157" s="57"/>
      <c r="F157" s="57"/>
      <c r="G157" s="57"/>
      <c r="H157" s="57"/>
      <c r="I157" s="57"/>
    </row>
    <row r="158" spans="1:9" ht="120" x14ac:dyDescent="0.25">
      <c r="A158" s="49" t="str">
        <f>IFERROR(IF(MD!A2="","",MD!A2),"")</f>
        <v>MD_1_2</v>
      </c>
      <c r="B158" s="50" t="str">
        <f>IFERROR(IF(MD!B2="","",MD!B2),"")</f>
        <v>ข้อมูลระดับน้ำทะเล</v>
      </c>
      <c r="C158" s="50" t="str">
        <f>IFERROR(IF(MD!A2="","",MD!C2&amp;CHAR(10)&amp;MD!D2&amp;CHAR(10)&amp;MD!E2),"")</f>
        <v>Forward-looking
Hazard
METEOROLOGICAL_OBSERVATION</v>
      </c>
      <c r="D158" s="50" t="str">
        <f>IFERROR(IF(MD!F2="","",MD!F2),"")</f>
        <v>Sea-level Rise (ระดับน้ำทะเลสูงขึ้น)</v>
      </c>
      <c r="E158" s="50" t="str">
        <f>IFERROR(IF(MD!I2="","",MD!I2),"")</f>
        <v>Up to 2026</v>
      </c>
      <c r="F158" s="50" t="str">
        <f>IFERROR(IF(MD!K2="","",MD!K2),"")</f>
        <v>Annual</v>
      </c>
      <c r="G158" s="50" t="str">
        <f>IFERROR(IF(MD!A2="","",MD!L2&amp;" / "&amp;MD!M2),"")</f>
        <v>National / -</v>
      </c>
      <c r="H158" s="50" t="str">
        <f>IFERROR(IF(MD!A2="","",MD!N2&amp;" / "&amp;MD!O2),"")</f>
        <v>Shapefile / Vector; CSV; API / Web Service / Restricted</v>
      </c>
      <c r="I158" s="51" t="str">
        <f>IFERROR(IF(MD!P2="","",HYPERLINK(MD!P2,IF(LEN(MD!P2)&gt;45,LEFT(MD!P2,42)&amp;"...",MD!P2))),"")</f>
        <v>http://hydro.md.go.th/</v>
      </c>
    </row>
    <row r="159" spans="1:9" ht="24" x14ac:dyDescent="0.25">
      <c r="A159" s="57" t="s">
        <v>30</v>
      </c>
      <c r="B159" s="57"/>
      <c r="C159" s="57"/>
      <c r="D159" s="57"/>
      <c r="E159" s="57"/>
      <c r="F159" s="57"/>
      <c r="G159" s="57"/>
      <c r="H159" s="57"/>
      <c r="I159" s="57"/>
    </row>
    <row r="160" spans="1:9" ht="120" x14ac:dyDescent="0.25">
      <c r="A160" s="49" t="str">
        <f>IFERROR(IF(MHESI!A2="","",MHESI!A2),"")</f>
        <v>MHESI_1_1</v>
      </c>
      <c r="B160" s="50" t="str">
        <f>IFERROR(IF(MHESI!B2="","",MHESI!B2),"")</f>
        <v>ข้อมูลตำแหน่งที่ตั้งและขอบเขตของสถาบันอุดมศึกษา</v>
      </c>
      <c r="C160" s="50" t="str">
        <f>IFERROR(IF(MHESI!A2="","",MHESI!C2&amp;CHAR(10)&amp;MHESI!D2&amp;CHAR(10)&amp;MHESI!E2),"")</f>
        <v>Forward-looking
Exposure
EXPOSED_ASSET</v>
      </c>
      <c r="D160" s="50" t="str">
        <f>IFERROR(IF(MHESI!F2="","",MHESI!F2),"")</f>
        <v>Cross-cutting (ทุกภัย)</v>
      </c>
      <c r="E160" s="50" t="str">
        <f>IFERROR(IF(MHESI!I2="","",MHESI!I2),"")</f>
        <v>2025 หรือล่าสุด</v>
      </c>
      <c r="F160" s="50" t="str">
        <f>IFERROR(IF(MHESI!K2="","",MHESI!K2),"")</f>
        <v>Annual</v>
      </c>
      <c r="G160" s="50" t="str">
        <f>IFERROR(IF(MHESI!A2="","",MHESI!L2&amp;" / "&amp;MHESI!M2),"")</f>
        <v>National / -</v>
      </c>
      <c r="H160" s="50" t="str">
        <f>IFERROR(IF(MHESI!A2="","",MHESI!N2&amp;" / "&amp;MHESI!O2),"")</f>
        <v>Shapefile / Vector; CSV; API / Web Service / Restricted</v>
      </c>
      <c r="I160" s="51" t="str">
        <f>IFERROR(IF(MHESI!P2="","",HYPERLINK(MHESI!P2,IF(LEN(MHESI!P2)&gt;45,LEFT(MHESI!P2,42)&amp;"...",MHESI!P2))),"")</f>
        <v>https://info.mhesi.go.th/homestat_academy.php</v>
      </c>
    </row>
    <row r="161" spans="1:9" ht="24" x14ac:dyDescent="0.25">
      <c r="A161" s="57" t="s">
        <v>31</v>
      </c>
      <c r="B161" s="57"/>
      <c r="C161" s="57"/>
      <c r="D161" s="57"/>
      <c r="E161" s="57"/>
      <c r="F161" s="57"/>
      <c r="G161" s="57"/>
      <c r="H161" s="57"/>
      <c r="I161" s="57"/>
    </row>
    <row r="162" spans="1:9" ht="72" x14ac:dyDescent="0.25">
      <c r="A162" s="49" t="str">
        <f>IFERROR(IF(MSDHS!A2="","",MSDHS!A2),"")</f>
        <v>MSDHS_1_1</v>
      </c>
      <c r="B162" s="50" t="str">
        <f>IFERROR(IF(MSDHS!B2="","",MSDHS!B2),"")</f>
        <v>ทะเบียนกลุ่มเปราะบางและสวัสดิการของ พม. (Vulnerable group welfare registry)</v>
      </c>
      <c r="C162" s="50" t="str">
        <f>IFERROR(IF(MSDHS!A2="","",MSDHS!C2&amp;CHAR(10)&amp;MSDHS!D2&amp;CHAR(10)&amp;MSDHS!E2),"")</f>
        <v>IMPACT (Backward-looking)
Vulnerability
SENSITIVITY</v>
      </c>
      <c r="D162" s="50" t="str">
        <f>IFERROR(IF(MSDHS!F2="","",MSDHS!F2),"")</f>
        <v>Cross-cutting (ทุกภัย)</v>
      </c>
      <c r="E162" s="50" t="str">
        <f>IFERROR(IF(MSDHS!I2="","",MSDHS!I2),"")</f>
        <v>-</v>
      </c>
      <c r="F162" s="50" t="str">
        <f>IFERROR(IF(MSDHS!K2="","",MSDHS!K2),"")</f>
        <v>Annual</v>
      </c>
      <c r="G162" s="50" t="str">
        <f>IFERROR(IF(MSDHS!A2="","",MSDHS!L2&amp;" / "&amp;MSDHS!M2),"")</f>
        <v>Tambon / ระดับบุคคล/ครัวเรือน เผยแพร่ระดับตำบล</v>
      </c>
      <c r="H162" s="50" t="str">
        <f>IFERROR(IF(MSDHS!A2="","",MSDHS!N2&amp;" / "&amp;MSDHS!O2),"")</f>
        <v>Database / Restricted</v>
      </c>
      <c r="I162" s="51" t="str">
        <f>IFERROR(IF(MSDHS!P2="","",HYPERLINK(MSDHS!P2,IF(LEN(MSDHS!P2)&gt;45,LEFT(MSDHS!P2,42)&amp;"...",MSDHS!P2))),"")</f>
        <v>-</v>
      </c>
    </row>
    <row r="163" spans="1:9" ht="96" x14ac:dyDescent="0.25">
      <c r="A163" s="49" t="str">
        <f>IFERROR(IF(MSDHS!A3="","",MSDHS!A3),"")</f>
        <v>MSDHS_1_2</v>
      </c>
      <c r="B163" s="50" t="str">
        <f>IFERROR(IF(MSDHS!B3="","",MSDHS!B3),"")</f>
        <v>ข้อมูลผู้ผ่านการอบรม "ครู ก." เตรียมพร้อมรับภัยพิบัติ (Teacher Kor disaster readiness training data)</v>
      </c>
      <c r="C163" s="50" t="str">
        <f>IFERROR(IF(MSDHS!A3="","",MSDHS!C3&amp;CHAR(10)&amp;MSDHS!D3&amp;CHAR(10)&amp;MSDHS!E3),"")</f>
        <v>Adaptation Planning
Response
RESPONSE</v>
      </c>
      <c r="D163" s="50" t="str">
        <f>IFERROR(IF(MSDHS!F3="","",MSDHS!F3),"")</f>
        <v>Cross-cutting (ทุกภัย)</v>
      </c>
      <c r="E163" s="50" t="str">
        <f>IFERROR(IF(MSDHS!I3="","",MSDHS!I3),"")</f>
        <v>2025-2026</v>
      </c>
      <c r="F163" s="50" t="str">
        <f>IFERROR(IF(MSDHS!K3="","",MSDHS!K3),"")</f>
        <v>Annual</v>
      </c>
      <c r="G163" s="50" t="str">
        <f>IFERROR(IF(MSDHS!A3="","",MSDHS!L3&amp;" / "&amp;MSDHS!M3),"")</f>
        <v>National / -</v>
      </c>
      <c r="H163" s="50" t="str">
        <f>IFERROR(IF(MSDHS!A3="","",MSDHS!N3&amp;" / "&amp;MSDHS!O3),"")</f>
        <v>Database; CSV / Restricted</v>
      </c>
      <c r="I163" s="51" t="str">
        <f>IFERROR(IF(MSDHS!P3="","",HYPERLINK(MSDHS!P3,IF(LEN(MSDHS!P3)&gt;45,LEFT(MSDHS!P3,42)&amp;"...",MSDHS!P3))),"")</f>
        <v>-</v>
      </c>
    </row>
    <row r="164" spans="1:9" ht="120" x14ac:dyDescent="0.25">
      <c r="A164" s="49" t="str">
        <f>IFERROR(IF(MSDHS!A4="","",MSDHS!A4),"")</f>
        <v>MSDHS_1_3</v>
      </c>
      <c r="B164" s="50" t="str">
        <f>IFERROR(IF(MSDHS!B4="","",MSDHS!B4),"")</f>
        <v>แผนที่ความเสี่ยงพื้นที่ทับซ้อนกลุ่มเปราะบางจากความร่วมมือธนาคารโลก (World Bank vulnerability risk maps - Chiang Mai, Korat, Pattani)</v>
      </c>
      <c r="C164" s="50" t="str">
        <f>IFERROR(IF(MSDHS!A4="","",MSDHS!C4&amp;CHAR(10)&amp;MSDHS!D4&amp;CHAR(10)&amp;MSDHS!E4),"")</f>
        <v>Forward-looking
Vulnerability
VULNERABILITY_FRAMEWORK</v>
      </c>
      <c r="D164" s="50" t="str">
        <f>IFERROR(IF(MSDHS!F4="","",MSDHS!F4),"")</f>
        <v>Flood (อุทกภัย); Drought (ภัยแล้ง); Heat (คลื่นความร้อน); Landslide (ดินถล่ม)</v>
      </c>
      <c r="E164" s="50" t="str">
        <f>IFERROR(IF(MSDHS!I4="","",MSDHS!I4),"")</f>
        <v>2024-2025</v>
      </c>
      <c r="F164" s="50" t="str">
        <f>IFERROR(IF(MSDHS!K4="","",MSDHS!K4),"")</f>
        <v>Annual</v>
      </c>
      <c r="G164" s="50" t="str">
        <f>IFERROR(IF(MSDHS!A4="","",MSDHS!L4&amp;" / "&amp;MSDHS!M4),"")</f>
        <v>Sub-national / 3 จังหวัด</v>
      </c>
      <c r="H164" s="50" t="str">
        <f>IFERROR(IF(MSDHS!A4="","",MSDHS!N4&amp;" / "&amp;MSDHS!O4),"")</f>
        <v>Shapefile; PDF Report / Restricted</v>
      </c>
      <c r="I164" s="51" t="str">
        <f>IFERROR(IF(MSDHS!P4="","",HYPERLINK(MSDHS!P4,IF(LEN(MSDHS!P4)&gt;45,LEFT(MSDHS!P4,42)&amp;"...",MSDHS!P4))),"")</f>
        <v>-</v>
      </c>
    </row>
    <row r="165" spans="1:9" ht="216" x14ac:dyDescent="0.25">
      <c r="A165" s="49" t="str">
        <f>IFERROR(IF(MSDHS!A5="","",MSDHS!A5),"")</f>
        <v>MSDHS_2_1</v>
      </c>
      <c r="B165" s="50" t="str">
        <f>IFERROR(IF(MSDHS!B5="","",MSDHS!B5),"")</f>
        <v>จำนวนชุมชนแออัด</v>
      </c>
      <c r="C165" s="50" t="str">
        <f>IFERROR(IF(MSDHS!A5="","",MSDHS!C5&amp;CHAR(10)&amp;MSDHS!D5&amp;CHAR(10)&amp;MSDHS!E5),"")</f>
        <v>Forward-looking
Exposure
EXPOSED_ASSET</v>
      </c>
      <c r="D165" s="50" t="str">
        <f>IFERROR(IF(MSDHS!F5="","",MSDHS!F5),"")</f>
        <v>Drought (ภัยแล้ง); Flood (อุทกภัย); Heat (คลื่นความร้อน)</v>
      </c>
      <c r="E165" s="50" t="str">
        <f>IFERROR(IF(MSDHS!I5="","",MSDHS!I5),"")</f>
        <v>1960-2014; 2015-2040; 2041-2060; 2061-2080; 2081-2100</v>
      </c>
      <c r="F165" s="50" t="str">
        <f>IFERROR(IF(MSDHS!K5="","",MSDHS!K5),"")</f>
        <v>Annual</v>
      </c>
      <c r="G165" s="50" t="str">
        <f>IFERROR(IF(MSDHS!A5="","",MSDHS!L5&amp;" / "&amp;MSDHS!M5),"")</f>
        <v>National / Province</v>
      </c>
      <c r="H165" s="50" t="str">
        <f>IFERROR(IF(MSDHS!A5="","",MSDHS!N5&amp;" / "&amp;MSDHS!O5),"")</f>
        <v>CSV / Restricted</v>
      </c>
      <c r="I165" s="51" t="str">
        <f>IFERROR(IF(MSDHS!P5="","",HYPERLINK(MSDHS!P5,IF(LEN(MSDHS!P5)&gt;45,LEFT(MSDHS!P5,42)&amp;"...",MSDHS!P5))),"")</f>
        <v>-</v>
      </c>
    </row>
    <row r="166" spans="1:9" ht="216" x14ac:dyDescent="0.25">
      <c r="A166" s="49" t="str">
        <f>IFERROR(IF(MSDHS!A6="","",MSDHS!A6),"")</f>
        <v>MSDHS_2_2</v>
      </c>
      <c r="B166" s="50" t="str">
        <f>IFERROR(IF(MSDHS!B6="","",MSDHS!B6),"")</f>
        <v>จำนวนผู้พิการหรือผู้ทุกพลภาพ</v>
      </c>
      <c r="C166" s="50" t="str">
        <f>IFERROR(IF(MSDHS!A6="","",MSDHS!C6&amp;CHAR(10)&amp;MSDHS!D6&amp;CHAR(10)&amp;MSDHS!E6),"")</f>
        <v>Forward-looking
Vulnerability
SENSITIVITY</v>
      </c>
      <c r="D166" s="50" t="str">
        <f>IFERROR(IF(MSDHS!F6="","",MSDHS!F6),"")</f>
        <v>Drought (ภัยแล้ง); Flood (อุทกภัย); Heat (คลื่นความร้อน)</v>
      </c>
      <c r="E166" s="50" t="str">
        <f>IFERROR(IF(MSDHS!I6="","",MSDHS!I6),"")</f>
        <v>1960-2014; 2015-2040; 2041-2060; 2061-2080; 2081-2100</v>
      </c>
      <c r="F166" s="50" t="str">
        <f>IFERROR(IF(MSDHS!K6="","",MSDHS!K6),"")</f>
        <v>Annual</v>
      </c>
      <c r="G166" s="50" t="str">
        <f>IFERROR(IF(MSDHS!A6="","",MSDHS!L6&amp;" / "&amp;MSDHS!M6),"")</f>
        <v>National / Province</v>
      </c>
      <c r="H166" s="50" t="str">
        <f>IFERROR(IF(MSDHS!A6="","",MSDHS!N6&amp;" / "&amp;MSDHS!O6),"")</f>
        <v>CSV / Restricted</v>
      </c>
      <c r="I166" s="51" t="str">
        <f>IFERROR(IF(MSDHS!P6="","",HYPERLINK(MSDHS!P6,IF(LEN(MSDHS!P6)&gt;45,LEFT(MSDHS!P6,42)&amp;"...",MSDHS!P6))),"")</f>
        <v>-</v>
      </c>
    </row>
    <row r="167" spans="1:9" ht="24" x14ac:dyDescent="0.25">
      <c r="A167" s="57" t="s">
        <v>32</v>
      </c>
      <c r="B167" s="57"/>
      <c r="C167" s="57"/>
      <c r="D167" s="57"/>
      <c r="E167" s="57"/>
      <c r="F167" s="57"/>
      <c r="G167" s="57"/>
      <c r="H167" s="57"/>
      <c r="I167" s="57"/>
    </row>
    <row r="168" spans="1:9" ht="72" x14ac:dyDescent="0.25">
      <c r="A168" s="49" t="str">
        <f>IFERROR(IF(MWA!A2="","",MWA!A2),"")</f>
        <v>MWA_1_1</v>
      </c>
      <c r="B168" s="50" t="str">
        <f>IFERROR(IF(MWA!B2="","",MWA!B2),"")</f>
        <v>ข้อมูลตำแหน่งที่ตั้งและขอบเขตของโรงประปานครหลวง</v>
      </c>
      <c r="C168" s="50" t="str">
        <f>IFERROR(IF(MWA!A2="","",MWA!C2&amp;CHAR(10)&amp;MWA!D2&amp;CHAR(10)&amp;MWA!E2),"")</f>
        <v>Forward-looking
Exposure
EXPOSED_ASSET</v>
      </c>
      <c r="D168" s="50" t="str">
        <f>IFERROR(IF(MWA!F2="","",MWA!F2),"")</f>
        <v>Cross-cutting (ทุกภัย)</v>
      </c>
      <c r="E168" s="50" t="str">
        <f>IFERROR(IF(MWA!I2="","",MWA!I2),"")</f>
        <v>Up to 2025</v>
      </c>
      <c r="F168" s="50" t="str">
        <f>IFERROR(IF(MWA!K2="","",MWA!K2),"")</f>
        <v>Annual</v>
      </c>
      <c r="G168" s="50" t="str">
        <f>IFERROR(IF(MWA!A2="","",MWA!L2&amp;" / "&amp;MWA!M2),"")</f>
        <v>National / Point</v>
      </c>
      <c r="H168" s="50" t="str">
        <f>IFERROR(IF(MWA!A2="","",MWA!N2&amp;" / "&amp;MWA!O2),"")</f>
        <v>Shapefile / Vector; CSV / Restricted</v>
      </c>
      <c r="I168" s="51" t="str">
        <f>IFERROR(IF(MWA!P2="","",HYPERLINK(MWA!P2,IF(LEN(MWA!P2)&gt;45,LEFT(MWA!P2,42)&amp;"...",MWA!P2))),"")</f>
        <v>https://gisonline.mwa.co.th/fvt_gis/</v>
      </c>
    </row>
    <row r="169" spans="1:9" ht="24" x14ac:dyDescent="0.25">
      <c r="A169" s="57" t="s">
        <v>33</v>
      </c>
      <c r="B169" s="57"/>
      <c r="C169" s="57"/>
      <c r="D169" s="57"/>
      <c r="E169" s="57"/>
      <c r="F169" s="57"/>
      <c r="G169" s="57"/>
      <c r="H169" s="57"/>
      <c r="I169" s="57"/>
    </row>
    <row r="170" spans="1:9" ht="216" x14ac:dyDescent="0.25">
      <c r="A170" s="49" t="str">
        <f>IFERROR(IF(MoPH!A2="","",MoPH!A2),"")</f>
        <v>MOPH_1_1</v>
      </c>
      <c r="B170" s="50" t="str">
        <f>IFERROR(IF(MoPH!B2="","",MoPH!B2),"")</f>
        <v>จำนวนหน่วยบริการสังกัดกระทรวงสาธารณสุข</v>
      </c>
      <c r="C170" s="50" t="str">
        <f>IFERROR(IF(MoPH!A2="","",MoPH!C2&amp;CHAR(10)&amp;MoPH!D2&amp;CHAR(10)&amp;MoPH!E2),"")</f>
        <v>Forward-looking
Vulnerability
ADAPTIVE_CAPACITY</v>
      </c>
      <c r="D170" s="50" t="str">
        <f>IFERROR(IF(MoPH!F2="","",MoPH!F2),"")</f>
        <v>Heat (คลื่นความร้อน)</v>
      </c>
      <c r="E170" s="50" t="str">
        <f>IFERROR(IF(MoPH!I2="","",MoPH!I2),"")</f>
        <v>1960-2014; 2015-2040; 2041-2060; 2061-2080; 2081-2100</v>
      </c>
      <c r="F170" s="50" t="str">
        <f>IFERROR(IF(MoPH!K2="","",MoPH!K2),"")</f>
        <v>Annual</v>
      </c>
      <c r="G170" s="50" t="str">
        <f>IFERROR(IF(MoPH!A2="","",MoPH!L2&amp;" / "&amp;MoPH!M2),"")</f>
        <v>National / Province</v>
      </c>
      <c r="H170" s="50" t="str">
        <f>IFERROR(IF(MoPH!A2="","",MoPH!N2&amp;" / "&amp;MoPH!O2),"")</f>
        <v>CSV / Restricted</v>
      </c>
      <c r="I170" s="51" t="str">
        <f>IFERROR(IF(MoPH!P2="","",HYPERLINK(MoPH!P2,IF(LEN(MoPH!P2)&gt;45,LEFT(MoPH!P2,42)&amp;"...",MoPH!P2))),"")</f>
        <v>-</v>
      </c>
    </row>
    <row r="171" spans="1:9" ht="216" x14ac:dyDescent="0.25">
      <c r="A171" s="49" t="str">
        <f>IFERROR(IF(MoPH!A3="","",MoPH!A3),"")</f>
        <v>MOPH_1_2</v>
      </c>
      <c r="B171" s="50" t="str">
        <f>IFERROR(IF(MoPH!B3="","",MoPH!B3),"")</f>
        <v>จำนวนหน่วยบริการสังกัดสำนักงานปลัดกระทรวงสาธารณสุข จำแนกตามระดับของสถานพยาบาล</v>
      </c>
      <c r="C171" s="50" t="str">
        <f>IFERROR(IF(MoPH!A3="","",MoPH!C3&amp;CHAR(10)&amp;MoPH!D3&amp;CHAR(10)&amp;MoPH!E3),"")</f>
        <v>Forward-looking
Vulnerability
ADAPTIVE_CAPACITY</v>
      </c>
      <c r="D171" s="50" t="str">
        <f>IFERROR(IF(MoPH!F3="","",MoPH!F3),"")</f>
        <v>Drought (ภัยแล้ง); Flood (อุทกภัย); Heat (คลื่นความร้อน)</v>
      </c>
      <c r="E171" s="50" t="str">
        <f>IFERROR(IF(MoPH!I3="","",MoPH!I3),"")</f>
        <v>1960-2014; 2015-2040; 2041-2060; 2061-2080; 2081-2100</v>
      </c>
      <c r="F171" s="50" t="str">
        <f>IFERROR(IF(MoPH!K3="","",MoPH!K3),"")</f>
        <v>Annual</v>
      </c>
      <c r="G171" s="50" t="str">
        <f>IFERROR(IF(MoPH!A3="","",MoPH!L3&amp;" / "&amp;MoPH!M3),"")</f>
        <v>National / Province</v>
      </c>
      <c r="H171" s="50" t="str">
        <f>IFERROR(IF(MoPH!A3="","",MoPH!N3&amp;" / "&amp;MoPH!O3),"")</f>
        <v>CSV / Restricted</v>
      </c>
      <c r="I171" s="51" t="str">
        <f>IFERROR(IF(MoPH!P3="","",HYPERLINK(MoPH!P3,IF(LEN(MoPH!P3)&gt;45,LEFT(MoPH!P3,42)&amp;"...",MoPH!P3))),"")</f>
        <v>-</v>
      </c>
    </row>
    <row r="172" spans="1:9" ht="216" x14ac:dyDescent="0.25">
      <c r="A172" s="49" t="str">
        <f>IFERROR(IF(MoPH!A4="","",MoPH!A4),"")</f>
        <v>MOPH_1_3</v>
      </c>
      <c r="B172" s="50" t="str">
        <f>IFERROR(IF(MoPH!B4="","",MoPH!B4),"")</f>
        <v>จำนวนผู้ป่วยโรคไม่ติดต่อ</v>
      </c>
      <c r="C172" s="50" t="str">
        <f>IFERROR(IF(MoPH!A4="","",MoPH!C4&amp;CHAR(10)&amp;MoPH!D4&amp;CHAR(10)&amp;MoPH!E4),"")</f>
        <v>Forward-looking
Vulnerability
SENSITIVITY</v>
      </c>
      <c r="D172" s="50" t="str">
        <f>IFERROR(IF(MoPH!F4="","",MoPH!F4),"")</f>
        <v>Drought (ภัยแล้ง); Flood (อุทกภัย); Heat (คลื่นความร้อน)</v>
      </c>
      <c r="E172" s="50" t="str">
        <f>IFERROR(IF(MoPH!I4="","",MoPH!I4),"")</f>
        <v>1960-2014; 2015-2040; 2041-2060; 2061-2080; 2081-2100</v>
      </c>
      <c r="F172" s="50" t="str">
        <f>IFERROR(IF(MoPH!K4="","",MoPH!K4),"")</f>
        <v>Annual</v>
      </c>
      <c r="G172" s="50" t="str">
        <f>IFERROR(IF(MoPH!A4="","",MoPH!L4&amp;" / "&amp;MoPH!M4),"")</f>
        <v>National / Province</v>
      </c>
      <c r="H172" s="50" t="str">
        <f>IFERROR(IF(MoPH!A4="","",MoPH!N4&amp;" / "&amp;MoPH!O4),"")</f>
        <v>CSV / Restricted</v>
      </c>
      <c r="I172" s="51" t="str">
        <f>IFERROR(IF(MoPH!P4="","",HYPERLINK(MoPH!P4,IF(LEN(MoPH!P4)&gt;45,LEFT(MoPH!P4,42)&amp;"...",MoPH!P4))),"")</f>
        <v>-</v>
      </c>
    </row>
    <row r="173" spans="1:9" ht="216" x14ac:dyDescent="0.25">
      <c r="A173" s="49" t="str">
        <f>IFERROR(IF(MoPH!A5="","",MoPH!A5),"")</f>
        <v>MOPH_1_4</v>
      </c>
      <c r="B173" s="50" t="str">
        <f>IFERROR(IF(MoPH!B5="","",MoPH!B5),"")</f>
        <v>จำนวนบุคลากรทางการแพทย์ต่อประชากร</v>
      </c>
      <c r="C173" s="50" t="str">
        <f>IFERROR(IF(MoPH!A5="","",MoPH!C5&amp;CHAR(10)&amp;MoPH!D5&amp;CHAR(10)&amp;MoPH!E5),"")</f>
        <v>Forward-looking
Vulnerability
ADAPTIVE_CAPACITY</v>
      </c>
      <c r="D173" s="50" t="str">
        <f>IFERROR(IF(MoPH!F5="","",MoPH!F5),"")</f>
        <v>Heat (คลื่นความร้อน)</v>
      </c>
      <c r="E173" s="50" t="str">
        <f>IFERROR(IF(MoPH!I5="","",MoPH!I5),"")</f>
        <v>1960-2014; 2015-2040; 2041-2060; 2061-2080; 2081-2100</v>
      </c>
      <c r="F173" s="50" t="str">
        <f>IFERROR(IF(MoPH!K5="","",MoPH!K5),"")</f>
        <v>Annual</v>
      </c>
      <c r="G173" s="50" t="str">
        <f>IFERROR(IF(MoPH!A5="","",MoPH!L5&amp;" / "&amp;MoPH!M5),"")</f>
        <v>National / Province</v>
      </c>
      <c r="H173" s="50" t="str">
        <f>IFERROR(IF(MoPH!A5="","",MoPH!N5&amp;" / "&amp;MoPH!O5),"")</f>
        <v>CSV / Restricted</v>
      </c>
      <c r="I173" s="51" t="str">
        <f>IFERROR(IF(MoPH!P5="","",HYPERLINK(MoPH!P5,IF(LEN(MoPH!P5)&gt;45,LEFT(MoPH!P5,42)&amp;"...",MoPH!P5))),"")</f>
        <v>-</v>
      </c>
    </row>
    <row r="174" spans="1:9" ht="216" x14ac:dyDescent="0.25">
      <c r="A174" s="49" t="str">
        <f>IFERROR(IF(MoPH!A6="","",MoPH!A6),"")</f>
        <v>MOPH_1_5</v>
      </c>
      <c r="B174" s="50" t="str">
        <f>IFERROR(IF(MoPH!B6="","",MoPH!B6),"")</f>
        <v>สัดส่วนของอาสาสมัครสาธารณสุขประจำหมู่บ้าน</v>
      </c>
      <c r="C174" s="50" t="str">
        <f>IFERROR(IF(MoPH!A6="","",MoPH!C6&amp;CHAR(10)&amp;MoPH!D6&amp;CHAR(10)&amp;MoPH!E6),"")</f>
        <v>Forward-looking
Vulnerability
ADAPTIVE_CAPACITY</v>
      </c>
      <c r="D174" s="50" t="str">
        <f>IFERROR(IF(MoPH!F6="","",MoPH!F6),"")</f>
        <v>Drought (ภัยแล้ง); Flood (อุทกภัย); Heat (คลื่นความร้อน)</v>
      </c>
      <c r="E174" s="50" t="str">
        <f>IFERROR(IF(MoPH!I6="","",MoPH!I6),"")</f>
        <v>1960-2014; 2015-2040; 2041-2060; 2061-2080; 2081-2100</v>
      </c>
      <c r="F174" s="50" t="str">
        <f>IFERROR(IF(MoPH!K6="","",MoPH!K6),"")</f>
        <v>Annual</v>
      </c>
      <c r="G174" s="50" t="str">
        <f>IFERROR(IF(MoPH!A6="","",MoPH!L6&amp;" / "&amp;MoPH!M6),"")</f>
        <v>National / Province</v>
      </c>
      <c r="H174" s="50" t="str">
        <f>IFERROR(IF(MoPH!A6="","",MoPH!N6&amp;" / "&amp;MoPH!O6),"")</f>
        <v>CSV / Restricted</v>
      </c>
      <c r="I174" s="51" t="str">
        <f>IFERROR(IF(MoPH!P6="","",HYPERLINK(MoPH!P6,IF(LEN(MoPH!P6)&gt;45,LEFT(MoPH!P6,42)&amp;"...",MoPH!P6))),"")</f>
        <v>-</v>
      </c>
    </row>
    <row r="175" spans="1:9" ht="216" x14ac:dyDescent="0.25">
      <c r="A175" s="49" t="str">
        <f>IFERROR(IF(MoPH!A7="","",MoPH!A7),"")</f>
        <v>MOPH_1_6</v>
      </c>
      <c r="B175" s="50" t="str">
        <f>IFERROR(IF(MoPH!B7="","",MoPH!B7),"")</f>
        <v>อัตราการใช้บริการผู้ป่วยนอก (ครั้งต่อคนต่อปี)</v>
      </c>
      <c r="C175" s="50" t="str">
        <f>IFERROR(IF(MoPH!A7="","",MoPH!C7&amp;CHAR(10)&amp;MoPH!D7&amp;CHAR(10)&amp;MoPH!E7),"")</f>
        <v>Forward-looking
Vulnerability
ADAPTIVE_CAPACITY</v>
      </c>
      <c r="D175" s="50" t="str">
        <f>IFERROR(IF(MoPH!F7="","",MoPH!F7),"")</f>
        <v>Drought (ภัยแล้ง); Flood (อุทกภัย); Heat (คลื่นความร้อน)</v>
      </c>
      <c r="E175" s="50" t="str">
        <f>IFERROR(IF(MoPH!I7="","",MoPH!I7),"")</f>
        <v>1960-2014; 2015-2040; 2041-2060; 2061-2080; 2081-2100</v>
      </c>
      <c r="F175" s="50" t="str">
        <f>IFERROR(IF(MoPH!K7="","",MoPH!K7),"")</f>
        <v>Annual</v>
      </c>
      <c r="G175" s="50" t="str">
        <f>IFERROR(IF(MoPH!A7="","",MoPH!L7&amp;" / "&amp;MoPH!M7),"")</f>
        <v>National / Province</v>
      </c>
      <c r="H175" s="50" t="str">
        <f>IFERROR(IF(MoPH!A7="","",MoPH!N7&amp;" / "&amp;MoPH!O7),"")</f>
        <v>CSV / Restricted</v>
      </c>
      <c r="I175" s="51" t="str">
        <f>IFERROR(IF(MoPH!P7="","",HYPERLINK(MoPH!P7,IF(LEN(MoPH!P7)&gt;45,LEFT(MoPH!P7,42)&amp;"...",MoPH!P7))),"")</f>
        <v>-</v>
      </c>
    </row>
    <row r="176" spans="1:9" ht="24" x14ac:dyDescent="0.25">
      <c r="A176" s="57" t="s">
        <v>34</v>
      </c>
      <c r="B176" s="57"/>
      <c r="C176" s="57"/>
      <c r="D176" s="57"/>
      <c r="E176" s="57"/>
      <c r="F176" s="57"/>
      <c r="G176" s="57"/>
      <c r="H176" s="57"/>
      <c r="I176" s="57"/>
    </row>
    <row r="177" spans="1:9" ht="120" x14ac:dyDescent="0.25">
      <c r="A177" s="49" t="str">
        <f>IFERROR(IF(NESDC!A2="","",NESDC!A2),"")</f>
        <v>NESDC_1_1</v>
      </c>
      <c r="B177" s="50" t="str">
        <f>IFERROR(IF(NESDC!B2="","",NESDC!B2),"")</f>
        <v>การประเมินความเสี่ยงด้านสภาพภูมิอากาศของโครงการลงทุนโครงสร้างพื้นฐาน (Infrastructure climate risk evaluation)</v>
      </c>
      <c r="C177" s="50" t="str">
        <f>IFERROR(IF(NESDC!A2="","",NESDC!C2&amp;CHAR(10)&amp;NESDC!D2&amp;CHAR(10)&amp;NESDC!E2),"")</f>
        <v>Forward-looking
Risk Metric
RISK_METRIC</v>
      </c>
      <c r="D177" s="50" t="str">
        <f>IFERROR(IF(NESDC!F2="","",NESDC!F2),"")</f>
        <v>Flood (อุทกภัย); Drought (ภัยแล้ง)</v>
      </c>
      <c r="E177" s="50" t="str">
        <f>IFERROR(IF(NESDC!I2="","",NESDC!I2),"")</f>
        <v>-</v>
      </c>
      <c r="F177" s="50" t="str">
        <f>IFERROR(IF(NESDC!K2="","",NESDC!K2),"")</f>
        <v>Annual</v>
      </c>
      <c r="G177" s="50" t="str">
        <f>IFERROR(IF(NESDC!A2="","",NESDC!L2&amp;" / "&amp;NESDC!M2),"")</f>
        <v>National / -</v>
      </c>
      <c r="H177" s="50" t="str">
        <f>IFERROR(IF(NESDC!A2="","",NESDC!N2&amp;" / "&amp;NESDC!O2),"")</f>
        <v>PDF Report / Restricted</v>
      </c>
      <c r="I177" s="51" t="str">
        <f>IFERROR(IF(NESDC!P2="","",HYPERLINK(NESDC!P2,IF(LEN(NESDC!P2)&gt;45,LEFT(NESDC!P2,42)&amp;"...",NESDC!P2))),"")</f>
        <v>-</v>
      </c>
    </row>
    <row r="178" spans="1:9" ht="216" x14ac:dyDescent="0.25">
      <c r="A178" s="49" t="str">
        <f>IFERROR(IF(NESDC!A3="","",NESDC!A3),"")</f>
        <v>NESDC_2_1</v>
      </c>
      <c r="B178" s="50" t="str">
        <f>IFERROR(IF(NESDC!B3="","",NESDC!B3),"")</f>
        <v>สัดส่วนของกลุ่มเปราะบาง (จำนวนผู้สูงอายุ &gt; 60 ปี และเด็กอายุ 0-4 ปี)</v>
      </c>
      <c r="C178" s="50" t="str">
        <f>IFERROR(IF(NESDC!A3="","",NESDC!C3&amp;CHAR(10)&amp;NESDC!D3&amp;CHAR(10)&amp;NESDC!E3),"")</f>
        <v>Forward-looking
Exposure
EXPOSED_ASSET</v>
      </c>
      <c r="D178" s="50" t="str">
        <f>IFERROR(IF(NESDC!F3="","",NESDC!F3),"")</f>
        <v>Drought (ภัยแล้ง); Flood (อุทกภัย); Heat (คลื่นความร้อน)</v>
      </c>
      <c r="E178" s="50" t="str">
        <f>IFERROR(IF(NESDC!I3="","",NESDC!I3),"")</f>
        <v>1960-2014; 2015-2040; 2041-2060; 2061-2080; 2081-2100</v>
      </c>
      <c r="F178" s="50" t="str">
        <f>IFERROR(IF(NESDC!K3="","",NESDC!K3),"")</f>
        <v>Annual</v>
      </c>
      <c r="G178" s="50" t="str">
        <f>IFERROR(IF(NESDC!A3="","",NESDC!L3&amp;" / "&amp;NESDC!M3),"")</f>
        <v>National / Province</v>
      </c>
      <c r="H178" s="50" t="str">
        <f>IFERROR(IF(NESDC!A3="","",NESDC!N3&amp;" / "&amp;NESDC!O3),"")</f>
        <v>CSV / Restricted</v>
      </c>
      <c r="I178" s="51" t="str">
        <f>IFERROR(IF(NESDC!P3="","",HYPERLINK(NESDC!P3,IF(LEN(NESDC!P3)&gt;45,LEFT(NESDC!P3,42)&amp;"...",NESDC!P3))),"")</f>
        <v>-</v>
      </c>
    </row>
    <row r="179" spans="1:9" ht="216" x14ac:dyDescent="0.25">
      <c r="A179" s="49" t="str">
        <f>IFERROR(IF(NESDC!A4="","",NESDC!A4),"")</f>
        <v>NESDC_2_2</v>
      </c>
      <c r="B179" s="50" t="str">
        <f>IFERROR(IF(NESDC!B4="","",NESDC!B4),"")</f>
        <v>จำนวนประชากรจากการทะเบียน (ทะเบียนราษฎร์เท่านั้น)</v>
      </c>
      <c r="C179" s="50" t="str">
        <f>IFERROR(IF(NESDC!A4="","",NESDC!C4&amp;CHAR(10)&amp;NESDC!D4&amp;CHAR(10)&amp;NESDC!E4),"")</f>
        <v>Forward-looking
Vulnerability
SENSITIVITY</v>
      </c>
      <c r="D179" s="50" t="str">
        <f>IFERROR(IF(NESDC!F4="","",NESDC!F4),"")</f>
        <v>Drought (ภัยแล้ง); Flood (อุทกภัย); Heat (คลื่นความร้อน)</v>
      </c>
      <c r="E179" s="50" t="str">
        <f>IFERROR(IF(NESDC!I4="","",NESDC!I4),"")</f>
        <v>1960-2014; 2015-2040; 2041-2060; 2061-2080; 2081-2100</v>
      </c>
      <c r="F179" s="50" t="str">
        <f>IFERROR(IF(NESDC!K4="","",NESDC!K4),"")</f>
        <v>Annual</v>
      </c>
      <c r="G179" s="50" t="str">
        <f>IFERROR(IF(NESDC!A4="","",NESDC!L4&amp;" / "&amp;NESDC!M4),"")</f>
        <v>National / Province</v>
      </c>
      <c r="H179" s="50" t="str">
        <f>IFERROR(IF(NESDC!A4="","",NESDC!N4&amp;" / "&amp;NESDC!O4),"")</f>
        <v>CSV / Restricted</v>
      </c>
      <c r="I179" s="51" t="str">
        <f>IFERROR(IF(NESDC!P4="","",HYPERLINK(NESDC!P4,IF(LEN(NESDC!P4)&gt;45,LEFT(NESDC!P4,42)&amp;"...",NESDC!P4))),"")</f>
        <v>-</v>
      </c>
    </row>
    <row r="180" spans="1:9" ht="216" x14ac:dyDescent="0.25">
      <c r="A180" s="49" t="str">
        <f>IFERROR(IF(NESDC!A5="","",NESDC!A5),"")</f>
        <v>NESDC_2_3</v>
      </c>
      <c r="B180" s="50" t="str">
        <f>IFERROR(IF(NESDC!B5="","",NESDC!B5),"")</f>
        <v>จำนวนผู้สูงอายุ (&gt; 60 ปี)</v>
      </c>
      <c r="C180" s="50" t="str">
        <f>IFERROR(IF(NESDC!A5="","",NESDC!C5&amp;CHAR(10)&amp;NESDC!D5&amp;CHAR(10)&amp;NESDC!E5),"")</f>
        <v>Forward-looking
Vulnerability
SENSITIVITY</v>
      </c>
      <c r="D180" s="50" t="str">
        <f>IFERROR(IF(NESDC!F5="","",NESDC!F5),"")</f>
        <v>Drought (ภัยแล้ง); Flood (อุทกภัย); Heat (คลื่นความร้อน)</v>
      </c>
      <c r="E180" s="50" t="str">
        <f>IFERROR(IF(NESDC!I5="","",NESDC!I5),"")</f>
        <v>1960-2014; 2015-2040; 2041-2060; 2061-2080; 2081-2100</v>
      </c>
      <c r="F180" s="50" t="str">
        <f>IFERROR(IF(NESDC!K5="","",NESDC!K5),"")</f>
        <v>Annual</v>
      </c>
      <c r="G180" s="50" t="str">
        <f>IFERROR(IF(NESDC!A5="","",NESDC!L5&amp;" / "&amp;NESDC!M5),"")</f>
        <v>National / Province</v>
      </c>
      <c r="H180" s="50" t="str">
        <f>IFERROR(IF(NESDC!A5="","",NESDC!N5&amp;" / "&amp;NESDC!O5),"")</f>
        <v>CSV / Restricted</v>
      </c>
      <c r="I180" s="51" t="str">
        <f>IFERROR(IF(NESDC!P5="","",HYPERLINK(NESDC!P5,IF(LEN(NESDC!P5)&gt;45,LEFT(NESDC!P5,42)&amp;"...",NESDC!P5))),"")</f>
        <v>-</v>
      </c>
    </row>
    <row r="181" spans="1:9" ht="216" x14ac:dyDescent="0.25">
      <c r="A181" s="49" t="str">
        <f>IFERROR(IF(NESDC!A6="","",NESDC!A6),"")</f>
        <v>NESDC_2_4</v>
      </c>
      <c r="B181" s="50" t="str">
        <f>IFERROR(IF(NESDC!B6="","",NESDC!B6),"")</f>
        <v>จำนวนเด็กอายุ 0-17 ปี</v>
      </c>
      <c r="C181" s="50" t="str">
        <f>IFERROR(IF(NESDC!A6="","",NESDC!C6&amp;CHAR(10)&amp;NESDC!D6&amp;CHAR(10)&amp;NESDC!E6),"")</f>
        <v>Forward-looking
Vulnerability
SENSITIVITY</v>
      </c>
      <c r="D181" s="50" t="str">
        <f>IFERROR(IF(NESDC!F6="","",NESDC!F6),"")</f>
        <v>Drought (ภัยแล้ง); Flood (อุทกภัย); Heat (คลื่นความร้อน)</v>
      </c>
      <c r="E181" s="50" t="str">
        <f>IFERROR(IF(NESDC!I6="","",NESDC!I6),"")</f>
        <v>1960-2014; 2015-2040; 2041-2060; 2061-2080; 2081-2100</v>
      </c>
      <c r="F181" s="50" t="str">
        <f>IFERROR(IF(NESDC!K6="","",NESDC!K6),"")</f>
        <v>Annual</v>
      </c>
      <c r="G181" s="50" t="str">
        <f>IFERROR(IF(NESDC!A6="","",NESDC!L6&amp;" / "&amp;NESDC!M6),"")</f>
        <v>National / Province</v>
      </c>
      <c r="H181" s="50" t="str">
        <f>IFERROR(IF(NESDC!A6="","",NESDC!N6&amp;" / "&amp;NESDC!O6),"")</f>
        <v>CSV / Restricted</v>
      </c>
      <c r="I181" s="51" t="str">
        <f>IFERROR(IF(NESDC!P6="","",HYPERLINK(NESDC!P6,IF(LEN(NESDC!P6)&gt;45,LEFT(NESDC!P6,42)&amp;"...",NESDC!P6))),"")</f>
        <v>-</v>
      </c>
    </row>
    <row r="182" spans="1:9" ht="216" x14ac:dyDescent="0.25">
      <c r="A182" s="49" t="str">
        <f>IFERROR(IF(NESDC!A7="","",NESDC!A7),"")</f>
        <v>NESDC_2_5</v>
      </c>
      <c r="B182" s="50" t="str">
        <f>IFERROR(IF(NESDC!B7="","",NESDC!B7),"")</f>
        <v>ดัชนีความยากจนหลายมิติ (MPI)</v>
      </c>
      <c r="C182" s="50" t="str">
        <f>IFERROR(IF(NESDC!A7="","",NESDC!C7&amp;CHAR(10)&amp;NESDC!D7&amp;CHAR(10)&amp;NESDC!E7),"")</f>
        <v>Forward-looking
Vulnerability
SENSITIVITY</v>
      </c>
      <c r="D182" s="50" t="str">
        <f>IFERROR(IF(NESDC!F7="","",NESDC!F7),"")</f>
        <v>Drought (ภัยแล้ง); Flood (อุทกภัย); Heat (คลื่นความร้อน)</v>
      </c>
      <c r="E182" s="50" t="str">
        <f>IFERROR(IF(NESDC!I7="","",NESDC!I7),"")</f>
        <v>1960-2014; 2015-2040; 2041-2060; 2061-2080; 2081-2100</v>
      </c>
      <c r="F182" s="50" t="str">
        <f>IFERROR(IF(NESDC!K7="","",NESDC!K7),"")</f>
        <v>Annual</v>
      </c>
      <c r="G182" s="50" t="str">
        <f>IFERROR(IF(NESDC!A7="","",NESDC!L7&amp;" / "&amp;NESDC!M7),"")</f>
        <v>National / Province</v>
      </c>
      <c r="H182" s="50" t="str">
        <f>IFERROR(IF(NESDC!A7="","",NESDC!N7&amp;" / "&amp;NESDC!O7),"")</f>
        <v>CSV / Restricted</v>
      </c>
      <c r="I182" s="51" t="str">
        <f>IFERROR(IF(NESDC!P7="","",HYPERLINK(NESDC!P7,IF(LEN(NESDC!P7)&gt;45,LEFT(NESDC!P7,42)&amp;"...",NESDC!P7))),"")</f>
        <v>-</v>
      </c>
    </row>
    <row r="183" spans="1:9" ht="216" x14ac:dyDescent="0.25">
      <c r="A183" s="49" t="str">
        <f>IFERROR(IF(NESDC!A8="","",NESDC!A8),"")</f>
        <v>NESDC_2_6</v>
      </c>
      <c r="B183" s="50" t="str">
        <f>IFERROR(IF(NESDC!B8="","",NESDC!B8),"")</f>
        <v>จำนวนคนยากจน</v>
      </c>
      <c r="C183" s="50" t="str">
        <f>IFERROR(IF(NESDC!A8="","",NESDC!C8&amp;CHAR(10)&amp;NESDC!D8&amp;CHAR(10)&amp;NESDC!E8),"")</f>
        <v>Forward-looking
Vulnerability
SENSITIVITY</v>
      </c>
      <c r="D183" s="50" t="str">
        <f>IFERROR(IF(NESDC!F8="","",NESDC!F8),"")</f>
        <v>Drought (ภัยแล้ง); Flood (อุทกภัย); Heat (คลื่นความร้อน)</v>
      </c>
      <c r="E183" s="50" t="str">
        <f>IFERROR(IF(NESDC!I8="","",NESDC!I8),"")</f>
        <v>1960-2014; 2015-2040; 2041-2060; 2061-2080; 2081-2100</v>
      </c>
      <c r="F183" s="50" t="str">
        <f>IFERROR(IF(NESDC!K8="","",NESDC!K8),"")</f>
        <v>Annual</v>
      </c>
      <c r="G183" s="50" t="str">
        <f>IFERROR(IF(NESDC!A8="","",NESDC!L8&amp;" / "&amp;NESDC!M8),"")</f>
        <v>National / Province</v>
      </c>
      <c r="H183" s="50" t="str">
        <f>IFERROR(IF(NESDC!A8="","",NESDC!N8&amp;" / "&amp;NESDC!O8),"")</f>
        <v>CSV / Restricted</v>
      </c>
      <c r="I183" s="51" t="str">
        <f>IFERROR(IF(NESDC!P8="","",HYPERLINK(NESDC!P8,IF(LEN(NESDC!P8)&gt;45,LEFT(NESDC!P8,42)&amp;"...",NESDC!P8))),"")</f>
        <v>-</v>
      </c>
    </row>
    <row r="184" spans="1:9" ht="216" x14ac:dyDescent="0.25">
      <c r="A184" s="49" t="str">
        <f>IFERROR(IF(NESDC!A9="","",NESDC!A9),"")</f>
        <v>NESDC_2_7</v>
      </c>
      <c r="B184" s="50" t="str">
        <f>IFERROR(IF(NESDC!B9="","",NESDC!B9),"")</f>
        <v>สัมประสิทธิ์ความไม่เสมอภาค</v>
      </c>
      <c r="C184" s="50" t="str">
        <f>IFERROR(IF(NESDC!A9="","",NESDC!C9&amp;CHAR(10)&amp;NESDC!D9&amp;CHAR(10)&amp;NESDC!E9),"")</f>
        <v>Forward-looking
Vulnerability
SENSITIVITY</v>
      </c>
      <c r="D184" s="50" t="str">
        <f>IFERROR(IF(NESDC!F9="","",NESDC!F9),"")</f>
        <v>Drought (ภัยแล้ง); Flood (อุทกภัย); Heat (คลื่นความร้อน)</v>
      </c>
      <c r="E184" s="50" t="str">
        <f>IFERROR(IF(NESDC!I9="","",NESDC!I9),"")</f>
        <v>1960-2014; 2015-2040; 2041-2060; 2061-2080; 2081-2100</v>
      </c>
      <c r="F184" s="50" t="str">
        <f>IFERROR(IF(NESDC!K9="","",NESDC!K9),"")</f>
        <v>Annual</v>
      </c>
      <c r="G184" s="50" t="str">
        <f>IFERROR(IF(NESDC!A9="","",NESDC!L9&amp;" / "&amp;NESDC!M9),"")</f>
        <v>National / Province</v>
      </c>
      <c r="H184" s="50" t="str">
        <f>IFERROR(IF(NESDC!A9="","",NESDC!N9&amp;" / "&amp;NESDC!O9),"")</f>
        <v>CSV / Restricted</v>
      </c>
      <c r="I184" s="51" t="str">
        <f>IFERROR(IF(NESDC!P9="","",HYPERLINK(NESDC!P9,IF(LEN(NESDC!P9)&gt;45,LEFT(NESDC!P9,42)&amp;"...",NESDC!P9))),"")</f>
        <v>-</v>
      </c>
    </row>
    <row r="185" spans="1:9" ht="216" x14ac:dyDescent="0.25">
      <c r="A185" s="49" t="str">
        <f>IFERROR(IF(NESDC!A10="","",NESDC!A10),"")</f>
        <v>NESDC_2_8</v>
      </c>
      <c r="B185" s="50" t="str">
        <f>IFERROR(IF(NESDC!B10="","",NESDC!B10),"")</f>
        <v>ดัชนีการพัฒนามนุษย์</v>
      </c>
      <c r="C185" s="50" t="str">
        <f>IFERROR(IF(NESDC!A10="","",NESDC!C10&amp;CHAR(10)&amp;NESDC!D10&amp;CHAR(10)&amp;NESDC!E10),"")</f>
        <v>Forward-looking
Vulnerability
ADAPTIVE_CAPACITY</v>
      </c>
      <c r="D185" s="50" t="str">
        <f>IFERROR(IF(NESDC!F10="","",NESDC!F10),"")</f>
        <v>Drought (ภัยแล้ง); Flood (อุทกภัย); Heat (คลื่นความร้อน)</v>
      </c>
      <c r="E185" s="50" t="str">
        <f>IFERROR(IF(NESDC!I10="","",NESDC!I10),"")</f>
        <v>1960-2014; 2015-2040; 2041-2060; 2061-2080; 2081-2100</v>
      </c>
      <c r="F185" s="50" t="str">
        <f>IFERROR(IF(NESDC!K10="","",NESDC!K10),"")</f>
        <v>Annual</v>
      </c>
      <c r="G185" s="50" t="str">
        <f>IFERROR(IF(NESDC!A10="","",NESDC!L10&amp;" / "&amp;NESDC!M10),"")</f>
        <v>National / Province</v>
      </c>
      <c r="H185" s="50" t="str">
        <f>IFERROR(IF(NESDC!A10="","",NESDC!N10&amp;" / "&amp;NESDC!O10),"")</f>
        <v>CSV / Restricted</v>
      </c>
      <c r="I185" s="51" t="str">
        <f>IFERROR(IF(NESDC!P10="","",HYPERLINK(NESDC!P10,IF(LEN(NESDC!P10)&gt;45,LEFT(NESDC!P10,42)&amp;"...",NESDC!P10))),"")</f>
        <v>-</v>
      </c>
    </row>
    <row r="186" spans="1:9" ht="216" x14ac:dyDescent="0.25">
      <c r="A186" s="49" t="str">
        <f>IFERROR(IF(NESDC!A11="","",NESDC!A11),"")</f>
        <v>NESDC_2_9</v>
      </c>
      <c r="B186" s="50" t="str">
        <f>IFERROR(IF(NESDC!B11="","",NESDC!B11),"")</f>
        <v>ผลิตภัณฑ์จังหวัดต่อหัว (บาท)</v>
      </c>
      <c r="C186" s="50" t="str">
        <f>IFERROR(IF(NESDC!A11="","",NESDC!C11&amp;CHAR(10)&amp;NESDC!D11&amp;CHAR(10)&amp;NESDC!E11),"")</f>
        <v>Forward-looking
Vulnerability
ADAPTIVE_CAPACITY</v>
      </c>
      <c r="D186" s="50" t="str">
        <f>IFERROR(IF(NESDC!F11="","",NESDC!F11),"")</f>
        <v>Drought (ภัยแล้ง); Flood (อุทกภัย); Heat (คลื่นความร้อน)</v>
      </c>
      <c r="E186" s="50" t="str">
        <f>IFERROR(IF(NESDC!I11="","",NESDC!I11),"")</f>
        <v>1960-2014; 2015-2040; 2041-2060; 2061-2080; 2081-2100</v>
      </c>
      <c r="F186" s="50" t="str">
        <f>IFERROR(IF(NESDC!K11="","",NESDC!K11),"")</f>
        <v>Annual</v>
      </c>
      <c r="G186" s="50" t="str">
        <f>IFERROR(IF(NESDC!A11="","",NESDC!L11&amp;" / "&amp;NESDC!M11),"")</f>
        <v>National / Province</v>
      </c>
      <c r="H186" s="50" t="str">
        <f>IFERROR(IF(NESDC!A11="","",NESDC!N11&amp;" / "&amp;NESDC!O11),"")</f>
        <v>CSV / Restricted</v>
      </c>
      <c r="I186" s="51" t="str">
        <f>IFERROR(IF(NESDC!P11="","",HYPERLINK(NESDC!P11,IF(LEN(NESDC!P11)&gt;45,LEFT(NESDC!P11,42)&amp;"...",NESDC!P11))),"")</f>
        <v>-</v>
      </c>
    </row>
    <row r="187" spans="1:9" ht="216" x14ac:dyDescent="0.25">
      <c r="A187" s="49" t="str">
        <f>IFERROR(IF(NESDC!A12="","",NESDC!A12),"")</f>
        <v>NESDC_2_10</v>
      </c>
      <c r="B187" s="50" t="str">
        <f>IFERROR(IF(NESDC!B12="","",NESDC!B12),"")</f>
        <v>จำนวนประชากรรวม (ทะเบียนราษฎร์ + ประชากรแฝง)</v>
      </c>
      <c r="C187" s="50" t="str">
        <f>IFERROR(IF(NESDC!A12="","",NESDC!C12&amp;CHAR(10)&amp;NESDC!D12&amp;CHAR(10)&amp;NESDC!E12),"")</f>
        <v>Forward-looking
Vulnerability
ADAPTIVE_CAPACITY</v>
      </c>
      <c r="D187" s="50" t="str">
        <f>IFERROR(IF(NESDC!F12="","",NESDC!F12),"")</f>
        <v>Drought (ภัยแล้ง); Flood (อุทกภัย); Heat (คลื่นความร้อน)</v>
      </c>
      <c r="E187" s="50" t="str">
        <f>IFERROR(IF(NESDC!I12="","",NESDC!I12),"")</f>
        <v>1960-2014; 2015-2040; 2041-2060; 2061-2080; 2081-2100</v>
      </c>
      <c r="F187" s="50" t="str">
        <f>IFERROR(IF(NESDC!K12="","",NESDC!K12),"")</f>
        <v>Annual</v>
      </c>
      <c r="G187" s="50" t="str">
        <f>IFERROR(IF(NESDC!A12="","",NESDC!L12&amp;" / "&amp;NESDC!M12),"")</f>
        <v>National / Province</v>
      </c>
      <c r="H187" s="50" t="str">
        <f>IFERROR(IF(NESDC!A12="","",NESDC!N12&amp;" / "&amp;NESDC!O12),"")</f>
        <v>CSV / Restricted</v>
      </c>
      <c r="I187" s="51" t="str">
        <f>IFERROR(IF(NESDC!P12="","",HYPERLINK(NESDC!P12,IF(LEN(NESDC!P12)&gt;45,LEFT(NESDC!P12,42)&amp;"...",NESDC!P12))),"")</f>
        <v>-</v>
      </c>
    </row>
    <row r="188" spans="1:9" ht="216" x14ac:dyDescent="0.25">
      <c r="A188" s="49" t="str">
        <f>IFERROR(IF(NESDC!A13="","",NESDC!A13),"")</f>
        <v>NESDC_2_11</v>
      </c>
      <c r="B188" s="50" t="str">
        <f>IFERROR(IF(NESDC!B13="","",NESDC!B13),"")</f>
        <v>จำนวนประชากรในพื้นที่ (ทะเบียนราษฎร์ + ประชากรแฝง)</v>
      </c>
      <c r="C188" s="50" t="str">
        <f>IFERROR(IF(NESDC!A13="","",NESDC!C13&amp;CHAR(10)&amp;NESDC!D13&amp;CHAR(10)&amp;NESDC!E13),"")</f>
        <v>Forward-looking
Exposure
EXPOSED_ASSET</v>
      </c>
      <c r="D188" s="50" t="str">
        <f>IFERROR(IF(NESDC!F13="","",NESDC!F13),"")</f>
        <v>Heat (คลื่นความร้อน)</v>
      </c>
      <c r="E188" s="50" t="str">
        <f>IFERROR(IF(NESDC!I13="","",NESDC!I13),"")</f>
        <v>1960-2014; 2015-2040; 2041-2060; 2061-2080; 2081-2100</v>
      </c>
      <c r="F188" s="50" t="str">
        <f>IFERROR(IF(NESDC!K13="","",NESDC!K13),"")</f>
        <v>Annual</v>
      </c>
      <c r="G188" s="50" t="str">
        <f>IFERROR(IF(NESDC!A13="","",NESDC!L13&amp;" / "&amp;NESDC!M13),"")</f>
        <v>National / Province</v>
      </c>
      <c r="H188" s="50" t="str">
        <f>IFERROR(IF(NESDC!A13="","",NESDC!N13&amp;" / "&amp;NESDC!O13),"")</f>
        <v>CSV / Restricted</v>
      </c>
      <c r="I188" s="51" t="str">
        <f>IFERROR(IF(NESDC!P13="","",HYPERLINK(NESDC!P13,IF(LEN(NESDC!P13)&gt;45,LEFT(NESDC!P13,42)&amp;"...",NESDC!P13))),"")</f>
        <v>-</v>
      </c>
    </row>
    <row r="189" spans="1:9" ht="216" x14ac:dyDescent="0.25">
      <c r="A189" s="49" t="str">
        <f>IFERROR(IF(NESDC!A14="","",NESDC!A14),"")</f>
        <v>NESDC_2_12</v>
      </c>
      <c r="B189" s="50" t="str">
        <f>IFERROR(IF(NESDC!B14="","",NESDC!B14),"")</f>
        <v>จำนวนประชากรในพื้นที่ (ทั้งที่อยู่ในทะเบียนราษฎร์และประชากรแฝง)</v>
      </c>
      <c r="C189" s="50" t="str">
        <f>IFERROR(IF(NESDC!A14="","",NESDC!C14&amp;CHAR(10)&amp;NESDC!D14&amp;CHAR(10)&amp;NESDC!E14),"")</f>
        <v>Forward-looking
Exposure
EXPOSED_ASSET</v>
      </c>
      <c r="D189" s="50" t="str">
        <f>IFERROR(IF(NESDC!F14="","",NESDC!F14),"")</f>
        <v>Drought (ภัยแล้ง)</v>
      </c>
      <c r="E189" s="50" t="str">
        <f>IFERROR(IF(NESDC!I14="","",NESDC!I14),"")</f>
        <v>1960-2014; 2015-2040; 2041-2060; 2061-2080; 2081-2100</v>
      </c>
      <c r="F189" s="50" t="str">
        <f>IFERROR(IF(NESDC!K14="","",NESDC!K14),"")</f>
        <v>Annual</v>
      </c>
      <c r="G189" s="50" t="str">
        <f>IFERROR(IF(NESDC!A14="","",NESDC!L14&amp;" / "&amp;NESDC!M14),"")</f>
        <v>National / Province</v>
      </c>
      <c r="H189" s="50" t="str">
        <f>IFERROR(IF(NESDC!A14="","",NESDC!N14&amp;" / "&amp;NESDC!O14),"")</f>
        <v>CSV / Restricted</v>
      </c>
      <c r="I189" s="51" t="str">
        <f>IFERROR(IF(NESDC!P14="","",HYPERLINK(NESDC!P14,IF(LEN(NESDC!P14)&gt;45,LEFT(NESDC!P14,42)&amp;"...",NESDC!P14))),"")</f>
        <v>-</v>
      </c>
    </row>
    <row r="190" spans="1:9" ht="216" x14ac:dyDescent="0.25">
      <c r="A190" s="49" t="str">
        <f>IFERROR(IF(NESDC!A15="","",NESDC!A15),"")</f>
        <v>NESDC_2_13</v>
      </c>
      <c r="B190" s="50" t="str">
        <f>IFERROR(IF(NESDC!B15="","",NESDC!B15),"")</f>
        <v>จำนวนผู้สูงอายุพึ่งพิง</v>
      </c>
      <c r="C190" s="50" t="str">
        <f>IFERROR(IF(NESDC!A15="","",NESDC!C15&amp;CHAR(10)&amp;NESDC!D15&amp;CHAR(10)&amp;NESDC!E15),"")</f>
        <v>Forward-looking
Vulnerability
SENSITIVITY</v>
      </c>
      <c r="D190" s="50" t="str">
        <f>IFERROR(IF(NESDC!F15="","",NESDC!F15),"")</f>
        <v>Drought (ภัยแล้ง); Flood (อุทกภัย); Heat (คลื่นความร้อน)</v>
      </c>
      <c r="E190" s="50" t="str">
        <f>IFERROR(IF(NESDC!I15="","",NESDC!I15),"")</f>
        <v>1960-2014; 2015-2040; 2041-2060; 2061-2080; 2081-2100</v>
      </c>
      <c r="F190" s="50" t="str">
        <f>IFERROR(IF(NESDC!K15="","",NESDC!K15),"")</f>
        <v>Annual</v>
      </c>
      <c r="G190" s="50" t="str">
        <f>IFERROR(IF(NESDC!A15="","",NESDC!L15&amp;" / "&amp;NESDC!M15),"")</f>
        <v>National / Province</v>
      </c>
      <c r="H190" s="50" t="str">
        <f>IFERROR(IF(NESDC!A15="","",NESDC!N15&amp;" / "&amp;NESDC!O15),"")</f>
        <v>CSV / Restricted</v>
      </c>
      <c r="I190" s="51" t="str">
        <f>IFERROR(IF(NESDC!P15="","",HYPERLINK(NESDC!P15,IF(LEN(NESDC!P15)&gt;45,LEFT(NESDC!P15,42)&amp;"...",NESDC!P15))),"")</f>
        <v>-</v>
      </c>
    </row>
    <row r="191" spans="1:9" ht="24" x14ac:dyDescent="0.25">
      <c r="A191" s="57" t="s">
        <v>35</v>
      </c>
      <c r="B191" s="57"/>
      <c r="C191" s="57"/>
      <c r="D191" s="57"/>
      <c r="E191" s="57"/>
      <c r="F191" s="57"/>
      <c r="G191" s="57"/>
      <c r="H191" s="57"/>
      <c r="I191" s="57"/>
    </row>
    <row r="192" spans="1:9" ht="72" x14ac:dyDescent="0.25">
      <c r="A192" s="49" t="str">
        <f>IFERROR(IF(NSO!A2="","",NSO!A2),"")</f>
        <v>NSO_1_1</v>
      </c>
      <c r="B192" s="50" t="str">
        <f>IFERROR(IF(NSO!B2="","",NSO!B2),"")</f>
        <v>จำนวนครัวเรือนทั้งหมด — WebGIS DCCE (รายจังหวัด)</v>
      </c>
      <c r="C192" s="50" t="str">
        <f>IFERROR(IF(NSO!A2="","",NSO!C2&amp;CHAR(10)&amp;NSO!D2&amp;CHAR(10)&amp;NSO!E2),"")</f>
        <v>Forward-looking
Exposure
EXPOSED_ASSET</v>
      </c>
      <c r="D192" s="50" t="str">
        <f>IFERROR(IF(NSO!F2="","",NSO!F2),"")</f>
        <v>Cross-cutting (ทุกภัย)</v>
      </c>
      <c r="E192" s="50" t="str">
        <f>IFERROR(IF(NSO!I2="","",NSO!I2),"")</f>
        <v>Up to 2025</v>
      </c>
      <c r="F192" s="50" t="str">
        <f>IFERROR(IF(NSO!K2="","",NSO!K2),"")</f>
        <v>Annual</v>
      </c>
      <c r="G192" s="50" t="str">
        <f>IFERROR(IF(NSO!A2="","",NSO!L2&amp;" / "&amp;NSO!M2),"")</f>
        <v>National / Province</v>
      </c>
      <c r="H192" s="50" t="str">
        <f>IFERROR(IF(NSO!A2="","",NSO!N2&amp;" / "&amp;NSO!O2),"")</f>
        <v>CSV / Open</v>
      </c>
      <c r="I192" s="51" t="str">
        <f>IFERROR(IF(NSO!P2="","",HYPERLINK(NSO!P2,IF(LEN(NSO!P2)&gt;45,LEFT(NSO!P2,42)&amp;"...",NSO!P2))),"")</f>
        <v>https://nsodw.nso.go.th/dwportal/Home.aspx</v>
      </c>
    </row>
    <row r="193" spans="1:9" ht="96" x14ac:dyDescent="0.25">
      <c r="A193" s="49" t="str">
        <f>IFERROR(IF(NSO!A3="","",NSO!A3),"")</f>
        <v>NSO_1_2</v>
      </c>
      <c r="B193" s="50" t="str">
        <f>IFERROR(IF(NSO!B3="","",NSO!B3),"")</f>
        <v>สำมะโนประชากรและเคหะ (Population and Housing Census)</v>
      </c>
      <c r="C193" s="50" t="str">
        <f>IFERROR(IF(NSO!A3="","",NSO!C3&amp;CHAR(10)&amp;NSO!D3&amp;CHAR(10)&amp;NSO!E3),"")</f>
        <v>IMPACT (Backward-looking)
Exposure
EXPOSED_ASSET</v>
      </c>
      <c r="D193" s="50" t="str">
        <f>IFERROR(IF(NSO!F3="","",NSO!F3),"")</f>
        <v>Cross-cutting (ทุกภัย)</v>
      </c>
      <c r="E193" s="50" t="str">
        <f>IFERROR(IF(NSO!I3="","",NSO!I3),"")</f>
        <v>ทุก 10 ปี</v>
      </c>
      <c r="F193" s="50" t="str">
        <f>IFERROR(IF(NSO!K3="","",NSO!K3),"")</f>
        <v>Annual</v>
      </c>
      <c r="G193" s="50" t="str">
        <f>IFERROR(IF(NSO!A3="","",NSO!L3&amp;" / "&amp;NSO!M3),"")</f>
        <v>Tambon / ระดับตำบล (basic) ถึงระดับจังหวัด (deep attributes)</v>
      </c>
      <c r="H193" s="50" t="str">
        <f>IFERROR(IF(NSO!A3="","",NSO!N3&amp;" / "&amp;NSO!O3),"")</f>
        <v>Database; CSV / Open</v>
      </c>
      <c r="I193" s="51" t="str">
        <f>IFERROR(IF(NSO!P3="","",HYPERLINK(NSO!P3,IF(LEN(NSO!P3)&gt;45,LEFT(NSO!P3,42)&amp;"...",NSO!P3))),"")</f>
        <v>https://nsodw.nso.go.th/dwportal/Home.aspx</v>
      </c>
    </row>
    <row r="194" spans="1:9" ht="72" x14ac:dyDescent="0.25">
      <c r="A194" s="49" t="str">
        <f>IFERROR(IF(NSO!A4="","",NSO!A4),"")</f>
        <v>NSO_1_3</v>
      </c>
      <c r="B194" s="50" t="str">
        <f>IFERROR(IF(NSO!B4="","",NSO!B4),"")</f>
        <v>สำมะโนการเกษตร (Agricultural Census)</v>
      </c>
      <c r="C194" s="50" t="str">
        <f>IFERROR(IF(NSO!A4="","",NSO!C4&amp;CHAR(10)&amp;NSO!D4&amp;CHAR(10)&amp;NSO!E4),"")</f>
        <v>IMPACT (Backward-looking)
Vulnerability
SENSITIVITY</v>
      </c>
      <c r="D194" s="50" t="str">
        <f>IFERROR(IF(NSO!F4="","",NSO!F4),"")</f>
        <v>Drought (ภัยแล้ง); Flood (อุทกภัย)</v>
      </c>
      <c r="E194" s="50" t="str">
        <f>IFERROR(IF(NSO!I4="","",NSO!I4),"")</f>
        <v>Unknown</v>
      </c>
      <c r="F194" s="50" t="str">
        <f>IFERROR(IF(NSO!K4="","",NSO!K4),"")</f>
        <v>Annual</v>
      </c>
      <c r="G194" s="50" t="str">
        <f>IFERROR(IF(NSO!A4="","",NSO!L4&amp;" / "&amp;NSO!M4),"")</f>
        <v>Tambon / ระดับตำบล</v>
      </c>
      <c r="H194" s="50" t="str">
        <f>IFERROR(IF(NSO!A4="","",NSO!N4&amp;" / "&amp;NSO!O4),"")</f>
        <v>Database; CSV / Open</v>
      </c>
      <c r="I194" s="51" t="str">
        <f>IFERROR(IF(NSO!P4="","",HYPERLINK(NSO!P4,IF(LEN(NSO!P4)&gt;45,LEFT(NSO!P4,42)&amp;"...",NSO!P4))),"")</f>
        <v>https://nsodw.nso.go.th/dwportal/Home.aspx</v>
      </c>
    </row>
    <row r="195" spans="1:9" ht="72" x14ac:dyDescent="0.25">
      <c r="A195" s="49" t="str">
        <f>IFERROR(IF(NSO!A5="","",NSO!A5),"")</f>
        <v>NSO_1_4</v>
      </c>
      <c r="B195" s="50" t="str">
        <f>IFERROR(IF(NSO!B5="","",NSO!B5),"")</f>
        <v>สำมะโนอุตสาหกรรม (Industrial Census)</v>
      </c>
      <c r="C195" s="50" t="str">
        <f>IFERROR(IF(NSO!A5="","",NSO!C5&amp;CHAR(10)&amp;NSO!D5&amp;CHAR(10)&amp;NSO!E5),"")</f>
        <v>IMPACT (Backward-looking)
Exposure
EXPOSED_ASSET</v>
      </c>
      <c r="D195" s="50" t="str">
        <f>IFERROR(IF(NSO!F5="","",NSO!F5),"")</f>
        <v>Cross-cutting (ทุกภัย)</v>
      </c>
      <c r="E195" s="50" t="str">
        <f>IFERROR(IF(NSO!I5="","",NSO!I5),"")</f>
        <v>Unknown</v>
      </c>
      <c r="F195" s="50" t="str">
        <f>IFERROR(IF(NSO!K5="","",NSO!K5),"")</f>
        <v>Annual</v>
      </c>
      <c r="G195" s="50" t="str">
        <f>IFERROR(IF(NSO!A5="","",NSO!L5&amp;" / "&amp;NSO!M5),"")</f>
        <v>Province / รายจังหวัด</v>
      </c>
      <c r="H195" s="50" t="str">
        <f>IFERROR(IF(NSO!A5="","",NSO!N5&amp;" / "&amp;NSO!O5),"")</f>
        <v>Database; CSV / Open</v>
      </c>
      <c r="I195" s="51" t="str">
        <f>IFERROR(IF(NSO!P5="","",HYPERLINK(NSO!P5,IF(LEN(NSO!P5)&gt;45,LEFT(NSO!P5,42)&amp;"...",NSO!P5))),"")</f>
        <v>https://nsodw.nso.go.th/dwportal/Home.aspx</v>
      </c>
    </row>
    <row r="196" spans="1:9" ht="72" x14ac:dyDescent="0.25">
      <c r="A196" s="49" t="str">
        <f>IFERROR(IF(NSO!A6="","",NSO!A6),"")</f>
        <v>NSO_1_5</v>
      </c>
      <c r="B196" s="50" t="str">
        <f>IFERROR(IF(NSO!B6="","",NSO!B6),"")</f>
        <v>การสำรวจภาวะการทำงานของประชากร (Labor Force Survey)</v>
      </c>
      <c r="C196" s="50" t="str">
        <f>IFERROR(IF(NSO!A6="","",NSO!C6&amp;CHAR(10)&amp;NSO!D6&amp;CHAR(10)&amp;NSO!E6),"")</f>
        <v>IMPACT (Backward-looking)
Exposure
EXPOSED_ASSET</v>
      </c>
      <c r="D196" s="50" t="str">
        <f>IFERROR(IF(NSO!F6="","",NSO!F6),"")</f>
        <v>Cross-cutting (ทุกภัย)</v>
      </c>
      <c r="E196" s="50" t="str">
        <f>IFERROR(IF(NSO!I6="","",NSO!I6),"")</f>
        <v>Unknown</v>
      </c>
      <c r="F196" s="50" t="str">
        <f>IFERROR(IF(NSO!K6="","",NSO!K6),"")</f>
        <v>Monthly</v>
      </c>
      <c r="G196" s="50" t="str">
        <f>IFERROR(IF(NSO!A6="","",NSO!L6&amp;" / "&amp;NSO!M6),"")</f>
        <v>Province / -</v>
      </c>
      <c r="H196" s="50" t="str">
        <f>IFERROR(IF(NSO!A6="","",NSO!N6&amp;" / "&amp;NSO!O6),"")</f>
        <v>Database; CSV / Open</v>
      </c>
      <c r="I196" s="51" t="str">
        <f>IFERROR(IF(NSO!P6="","",HYPERLINK(NSO!P6,IF(LEN(NSO!P6)&gt;45,LEFT(NSO!P6,42)&amp;"...",NSO!P6))),"")</f>
        <v>https://nsodw.nso.go.th/dwportal/Home.aspx</v>
      </c>
    </row>
    <row r="197" spans="1:9" ht="96" x14ac:dyDescent="0.25">
      <c r="A197" s="49" t="str">
        <f>IFERROR(IF(NSO!A7="","",NSO!A7),"")</f>
        <v>NSO_1_6</v>
      </c>
      <c r="B197" s="50" t="str">
        <f>IFERROR(IF(NSO!B7="","",NSO!B7),"")</f>
        <v>การสำรวจภาวะเศรษฐกิจและสังคมของครัวเรือน (Socio-Economic Survey - SES)</v>
      </c>
      <c r="C197" s="50" t="str">
        <f>IFERROR(IF(NSO!A7="","",NSO!C7&amp;CHAR(10)&amp;NSO!D7&amp;CHAR(10)&amp;NSO!E7),"")</f>
        <v>IMPACT (Backward-looking)
Vulnerability
SENSITIVITY</v>
      </c>
      <c r="D197" s="50" t="str">
        <f>IFERROR(IF(NSO!F7="","",NSO!F7),"")</f>
        <v>Cross-cutting (ทุกภัย)</v>
      </c>
      <c r="E197" s="50" t="str">
        <f>IFERROR(IF(NSO!I7="","",NSO!I7),"")</f>
        <v>Unknown</v>
      </c>
      <c r="F197" s="50" t="str">
        <f>IFERROR(IF(NSO!K7="","",NSO!K7),"")</f>
        <v>Annual</v>
      </c>
      <c r="G197" s="50" t="str">
        <f>IFERROR(IF(NSO!A7="","",NSO!L7&amp;" / "&amp;NSO!M7),"")</f>
        <v>Province / -</v>
      </c>
      <c r="H197" s="50" t="str">
        <f>IFERROR(IF(NSO!A7="","",NSO!N7&amp;" / "&amp;NSO!O7),"")</f>
        <v>Database; CSV / Open</v>
      </c>
      <c r="I197" s="51" t="str">
        <f>IFERROR(IF(NSO!P7="","",HYPERLINK(NSO!P7,IF(LEN(NSO!P7)&gt;45,LEFT(NSO!P7,42)&amp;"...",NSO!P7))),"")</f>
        <v>https://nsodw.nso.go.th/dwportal/Home.aspx</v>
      </c>
    </row>
    <row r="198" spans="1:9" ht="120" x14ac:dyDescent="0.25">
      <c r="A198" s="49" t="str">
        <f>IFERROR(IF(NSO!A8="","",NSO!A8),"")</f>
        <v>NSO_1_7</v>
      </c>
      <c r="B198" s="50" t="str">
        <f>IFERROR(IF(NSO!B8="","",NSO!B8),"")</f>
        <v>กรอบการพัฒนาสถิติสิ่งแวดล้อม (Framework for Development of Environment Statistics - FDES)</v>
      </c>
      <c r="C198" s="50" t="str">
        <f>IFERROR(IF(NSO!A8="","",NSO!C8&amp;CHAR(10)&amp;NSO!D8&amp;CHAR(10)&amp;NSO!E8),"")</f>
        <v>Spatial Unit
Spatial Unit
SPATIAL_UNIT</v>
      </c>
      <c r="D198" s="50" t="str">
        <f>IFERROR(IF(NSO!F8="","",NSO!F8),"")</f>
        <v>Cross-cutting (ทุกภัย)</v>
      </c>
      <c r="E198" s="50" t="str">
        <f>IFERROR(IF(NSO!I8="","",NSO!I8),"")</f>
        <v>Unknown</v>
      </c>
      <c r="F198" s="50" t="str">
        <f>IFERROR(IF(NSO!K8="","",NSO!K8),"")</f>
        <v>Annual</v>
      </c>
      <c r="G198" s="50" t="str">
        <f>IFERROR(IF(NSO!A8="","",NSO!L8&amp;" / "&amp;NSO!M8),"")</f>
        <v>National / -</v>
      </c>
      <c r="H198" s="50" t="str">
        <f>IFERROR(IF(NSO!A8="","",NSO!N8&amp;" / "&amp;NSO!O8),"")</f>
        <v>PDF Report; Database / Restricted</v>
      </c>
      <c r="I198" s="51" t="str">
        <f>IFERROR(IF(NSO!P8="","",HYPERLINK(NSO!P8,IF(LEN(NSO!P8)&gt;45,LEFT(NSO!P8,42)&amp;"...",NSO!P8))),"")</f>
        <v>-</v>
      </c>
    </row>
    <row r="199" spans="1:9" ht="96" x14ac:dyDescent="0.25">
      <c r="A199" s="49" t="str">
        <f>IFERROR(IF(NSO!A9="","",NSO!A9),"")</f>
        <v>NSO_1_8</v>
      </c>
      <c r="B199" s="50" t="str">
        <f>IFERROR(IF(NSO!B9="","",NSO!B9),"")</f>
        <v>ฐานข้อมูล Common Frame ของสถานประกอบการ (Common Frame Database of establishments)</v>
      </c>
      <c r="C199" s="50" t="str">
        <f>IFERROR(IF(NSO!A9="","",NSO!C9&amp;CHAR(10)&amp;NSO!D9&amp;CHAR(10)&amp;NSO!E9),"")</f>
        <v>Spatial Unit
Exposure
EXPOSED_ASSET</v>
      </c>
      <c r="D199" s="50" t="str">
        <f>IFERROR(IF(NSO!F9="","",NSO!F9),"")</f>
        <v>Cross-cutting (ทุกภัย)</v>
      </c>
      <c r="E199" s="50" t="str">
        <f>IFERROR(IF(NSO!I9="","",NSO!I9),"")</f>
        <v>Unknown</v>
      </c>
      <c r="F199" s="50" t="str">
        <f>IFERROR(IF(NSO!K9="","",NSO!K9),"")</f>
        <v>Annual</v>
      </c>
      <c r="G199" s="50" t="str">
        <f>IFERROR(IF(NSO!A9="","",NSO!L9&amp;" / "&amp;NSO!M9),"")</f>
        <v>Tambon / ระดับตำบล</v>
      </c>
      <c r="H199" s="50" t="str">
        <f>IFERROR(IF(NSO!A9="","",NSO!N9&amp;" / "&amp;NSO!O9),"")</f>
        <v>Database / Restricted</v>
      </c>
      <c r="I199" s="51" t="str">
        <f>IFERROR(IF(NSO!P9="","",HYPERLINK(NSO!P9,IF(LEN(NSO!P9)&gt;45,LEFT(NSO!P9,42)&amp;"...",NSO!P9))),"")</f>
        <v>-</v>
      </c>
    </row>
    <row r="200" spans="1:9" ht="216" x14ac:dyDescent="0.25">
      <c r="A200" s="49" t="str">
        <f>IFERROR(IF(NSO!A10="","",NSO!A10),"")</f>
        <v>NSO_2_1</v>
      </c>
      <c r="B200" s="50" t="str">
        <f>IFERROR(IF(NSO!B10="","",NSO!B10),"")</f>
        <v>จำนวนครัวเรือนทั้งหมด — สำนักงานสถิติ/สภาพัฒน์ฯ</v>
      </c>
      <c r="C200" s="50" t="str">
        <f>IFERROR(IF(NSO!A10="","",NSO!C10&amp;CHAR(10)&amp;NSO!D10&amp;CHAR(10)&amp;NSO!E10),"")</f>
        <v>Forward-looking
Exposure
EXPOSED_ASSET</v>
      </c>
      <c r="D200" s="50" t="str">
        <f>IFERROR(IF(NSO!F10="","",NSO!F10),"")</f>
        <v>Drought (ภัยแล้ง); Flood (อุทกภัย); Heat (คลื่นความร้อน)</v>
      </c>
      <c r="E200" s="50" t="str">
        <f>IFERROR(IF(NSO!I10="","",NSO!I10),"")</f>
        <v>1960-2014; 2015-2040; 2041-2060; 2061-2080; 2081-2100</v>
      </c>
      <c r="F200" s="50" t="str">
        <f>IFERROR(IF(NSO!K10="","",NSO!K10),"")</f>
        <v>Annual</v>
      </c>
      <c r="G200" s="50" t="str">
        <f>IFERROR(IF(NSO!A10="","",NSO!L10&amp;" / "&amp;NSO!M10),"")</f>
        <v>National / Province</v>
      </c>
      <c r="H200" s="50" t="str">
        <f>IFERROR(IF(NSO!A10="","",NSO!N10&amp;" / "&amp;NSO!O10),"")</f>
        <v>CSV / Restricted</v>
      </c>
      <c r="I200" s="51" t="str">
        <f>IFERROR(IF(NSO!P10="","",HYPERLINK(NSO!P10,IF(LEN(NSO!P10)&gt;45,LEFT(NSO!P10,42)&amp;"...",NSO!P10))),"")</f>
        <v>-</v>
      </c>
    </row>
    <row r="201" spans="1:9" ht="216" x14ac:dyDescent="0.25">
      <c r="A201" s="49" t="str">
        <f>IFERROR(IF(NSO!A11="","",NSO!A11),"")</f>
        <v>NSO_2_2</v>
      </c>
      <c r="B201" s="50" t="str">
        <f>IFERROR(IF(NSO!B11="","",NSO!B11),"")</f>
        <v>จำนวนประชากรแฝง</v>
      </c>
      <c r="C201" s="50" t="str">
        <f>IFERROR(IF(NSO!A11="","",NSO!C11&amp;CHAR(10)&amp;NSO!D11&amp;CHAR(10)&amp;NSO!E11),"")</f>
        <v>Forward-looking
Vulnerability
SENSITIVITY</v>
      </c>
      <c r="D201" s="50" t="str">
        <f>IFERROR(IF(NSO!F11="","",NSO!F11),"")</f>
        <v>Drought (ภัยแล้ง); Flood (อุทกภัย); Heat (คลื่นความร้อน)</v>
      </c>
      <c r="E201" s="50" t="str">
        <f>IFERROR(IF(NSO!I11="","",NSO!I11),"")</f>
        <v>1960-2014; 2015-2040; 2041-2060; 2061-2080; 2081-2100</v>
      </c>
      <c r="F201" s="50" t="str">
        <f>IFERROR(IF(NSO!K11="","",NSO!K11),"")</f>
        <v>Annual</v>
      </c>
      <c r="G201" s="50" t="str">
        <f>IFERROR(IF(NSO!A11="","",NSO!L11&amp;" / "&amp;NSO!M11),"")</f>
        <v>National / Province</v>
      </c>
      <c r="H201" s="50" t="str">
        <f>IFERROR(IF(NSO!A11="","",NSO!N11&amp;" / "&amp;NSO!O11),"")</f>
        <v>CSV / Restricted</v>
      </c>
      <c r="I201" s="51" t="str">
        <f>IFERROR(IF(NSO!P11="","",HYPERLINK(NSO!P11,IF(LEN(NSO!P11)&gt;45,LEFT(NSO!P11,42)&amp;"...",NSO!P11))),"")</f>
        <v>-</v>
      </c>
    </row>
    <row r="202" spans="1:9" ht="216" x14ac:dyDescent="0.25">
      <c r="A202" s="49" t="str">
        <f>IFERROR(IF(NSO!A12="","",NSO!A12),"")</f>
        <v>NSO_2_3</v>
      </c>
      <c r="B202" s="50" t="str">
        <f>IFERROR(IF(NSO!B12="","",NSO!B12),"")</f>
        <v>จำนวนผู้ย้ายถิ่นภายใน 5 ปี</v>
      </c>
      <c r="C202" s="50" t="str">
        <f>IFERROR(IF(NSO!A12="","",NSO!C12&amp;CHAR(10)&amp;NSO!D12&amp;CHAR(10)&amp;NSO!E12),"")</f>
        <v>Forward-looking
Vulnerability
SENSITIVITY</v>
      </c>
      <c r="D202" s="50" t="str">
        <f>IFERROR(IF(NSO!F12="","",NSO!F12),"")</f>
        <v>Drought (ภัยแล้ง); Flood (อุทกภัย); Heat (คลื่นความร้อน)</v>
      </c>
      <c r="E202" s="50" t="str">
        <f>IFERROR(IF(NSO!I12="","",NSO!I12),"")</f>
        <v>1960-2014; 2015-2040; 2041-2060; 2061-2080; 2081-2100</v>
      </c>
      <c r="F202" s="50" t="str">
        <f>IFERROR(IF(NSO!K12="","",NSO!K12),"")</f>
        <v>Annual</v>
      </c>
      <c r="G202" s="50" t="str">
        <f>IFERROR(IF(NSO!A12="","",NSO!L12&amp;" / "&amp;NSO!M12),"")</f>
        <v>National / Province</v>
      </c>
      <c r="H202" s="50" t="str">
        <f>IFERROR(IF(NSO!A12="","",NSO!N12&amp;" / "&amp;NSO!O12),"")</f>
        <v>CSV / Restricted</v>
      </c>
      <c r="I202" s="51" t="str">
        <f>IFERROR(IF(NSO!P12="","",HYPERLINK(NSO!P12,IF(LEN(NSO!P12)&gt;45,LEFT(NSO!P12,42)&amp;"...",NSO!P12))),"")</f>
        <v>-</v>
      </c>
    </row>
    <row r="203" spans="1:9" ht="216" x14ac:dyDescent="0.25">
      <c r="A203" s="49" t="str">
        <f>IFERROR(IF(NSO!A13="","",NSO!A13),"")</f>
        <v>NSO_2_4</v>
      </c>
      <c r="B203" s="50" t="str">
        <f>IFERROR(IF(NSO!B13="","",NSO!B13),"")</f>
        <v>จำนวนครัวเรือนที่ผู้หญิงเป็นแม่เลี้ยงเดี่ยว</v>
      </c>
      <c r="C203" s="50" t="str">
        <f>IFERROR(IF(NSO!A13="","",NSO!C13&amp;CHAR(10)&amp;NSO!D13&amp;CHAR(10)&amp;NSO!E13),"")</f>
        <v>Forward-looking
Vulnerability
SENSITIVITY</v>
      </c>
      <c r="D203" s="50" t="str">
        <f>IFERROR(IF(NSO!F13="","",NSO!F13),"")</f>
        <v>Drought (ภัยแล้ง); Flood (อุทกภัย); Heat (คลื่นความร้อน)</v>
      </c>
      <c r="E203" s="50" t="str">
        <f>IFERROR(IF(NSO!I13="","",NSO!I13),"")</f>
        <v>1960-2014; 2015-2040; 2041-2060; 2061-2080; 2081-2100</v>
      </c>
      <c r="F203" s="50" t="str">
        <f>IFERROR(IF(NSO!K13="","",NSO!K13),"")</f>
        <v>Annual</v>
      </c>
      <c r="G203" s="50" t="str">
        <f>IFERROR(IF(NSO!A13="","",NSO!L13&amp;" / "&amp;NSO!M13),"")</f>
        <v>National / Province</v>
      </c>
      <c r="H203" s="50" t="str">
        <f>IFERROR(IF(NSO!A13="","",NSO!N13&amp;" / "&amp;NSO!O13),"")</f>
        <v>CSV / Restricted</v>
      </c>
      <c r="I203" s="51" t="str">
        <f>IFERROR(IF(NSO!P13="","",HYPERLINK(NSO!P13,IF(LEN(NSO!P13)&gt;45,LEFT(NSO!P13,42)&amp;"...",NSO!P13))),"")</f>
        <v>-</v>
      </c>
    </row>
    <row r="204" spans="1:9" ht="216" x14ac:dyDescent="0.25">
      <c r="A204" s="49" t="str">
        <f>IFERROR(IF(NSO!A14="","",NSO!A14),"")</f>
        <v>NSO_2_5</v>
      </c>
      <c r="B204" s="50" t="str">
        <f>IFERROR(IF(NSO!B14="","",NSO!B14),"")</f>
        <v>จำนวนครัวเรือนทั้งหมด</v>
      </c>
      <c r="C204" s="50" t="str">
        <f>IFERROR(IF(NSO!A14="","",NSO!C14&amp;CHAR(10)&amp;NSO!D14&amp;CHAR(10)&amp;NSO!E14),"")</f>
        <v>Forward-looking
Exposure
EXPOSED_ASSET</v>
      </c>
      <c r="D204" s="50" t="str">
        <f>IFERROR(IF(NSO!F14="","",NSO!F14),"")</f>
        <v>Heat (คลื่นความร้อน)</v>
      </c>
      <c r="E204" s="50" t="str">
        <f>IFERROR(IF(NSO!I14="","",NSO!I14),"")</f>
        <v>1960-2014; 2015-2040; 2041-2060; 2061-2080; 2081-2100</v>
      </c>
      <c r="F204" s="50" t="str">
        <f>IFERROR(IF(NSO!K14="","",NSO!K14),"")</f>
        <v>Annual</v>
      </c>
      <c r="G204" s="50" t="str">
        <f>IFERROR(IF(NSO!A14="","",NSO!L14&amp;" / "&amp;NSO!M14),"")</f>
        <v>National / Province</v>
      </c>
      <c r="H204" s="50" t="str">
        <f>IFERROR(IF(NSO!A14="","",NSO!N14&amp;" / "&amp;NSO!O14),"")</f>
        <v>CSV / Restricted</v>
      </c>
      <c r="I204" s="51" t="str">
        <f>IFERROR(IF(NSO!P14="","",HYPERLINK(NSO!P14,IF(LEN(NSO!P14)&gt;45,LEFT(NSO!P14,42)&amp;"...",NSO!P14))),"")</f>
        <v>-</v>
      </c>
    </row>
    <row r="205" spans="1:9" ht="216" x14ac:dyDescent="0.25">
      <c r="A205" s="49" t="str">
        <f>IFERROR(IF(NSO!A15="","",NSO!A15),"")</f>
        <v>NSO_2_6</v>
      </c>
      <c r="B205" s="50" t="str">
        <f>IFERROR(IF(NSO!B15="","",NSO!B15),"")</f>
        <v>สัดส่วนของประชากรที่สำเร็จการศึกษาตั้งแต่มัธยมศึกษาตอนปลายขึ้นไป</v>
      </c>
      <c r="C205" s="50" t="str">
        <f>IFERROR(IF(NSO!A15="","",NSO!C15&amp;CHAR(10)&amp;NSO!D15&amp;CHAR(10)&amp;NSO!E15),"")</f>
        <v>Forward-looking
Vulnerability
ADAPTIVE_CAPACITY</v>
      </c>
      <c r="D205" s="50" t="str">
        <f>IFERROR(IF(NSO!F15="","",NSO!F15),"")</f>
        <v>Drought (ภัยแล้ง); Flood (อุทกภัย); Heat (คลื่นความร้อน)</v>
      </c>
      <c r="E205" s="50" t="str">
        <f>IFERROR(IF(NSO!I15="","",NSO!I15),"")</f>
        <v>1960-2014; 2015-2040; 2041-2060; 2061-2080; 2081-2100</v>
      </c>
      <c r="F205" s="50" t="str">
        <f>IFERROR(IF(NSO!K15="","",NSO!K15),"")</f>
        <v>Annual</v>
      </c>
      <c r="G205" s="50" t="str">
        <f>IFERROR(IF(NSO!A15="","",NSO!L15&amp;" / "&amp;NSO!M15),"")</f>
        <v>National / Province</v>
      </c>
      <c r="H205" s="50" t="str">
        <f>IFERROR(IF(NSO!A15="","",NSO!N15&amp;" / "&amp;NSO!O15),"")</f>
        <v>CSV / Restricted</v>
      </c>
      <c r="I205" s="51" t="str">
        <f>IFERROR(IF(NSO!P15="","",HYPERLINK(NSO!P15,IF(LEN(NSO!P15)&gt;45,LEFT(NSO!P15,42)&amp;"...",NSO!P15))),"")</f>
        <v>-</v>
      </c>
    </row>
    <row r="206" spans="1:9" ht="24" x14ac:dyDescent="0.25">
      <c r="A206" s="57" t="s">
        <v>36</v>
      </c>
      <c r="B206" s="57"/>
      <c r="C206" s="57"/>
      <c r="D206" s="57"/>
      <c r="E206" s="57"/>
      <c r="F206" s="57"/>
      <c r="G206" s="57"/>
      <c r="H206" s="57"/>
      <c r="I206" s="57"/>
    </row>
    <row r="207" spans="1:9" ht="120" x14ac:dyDescent="0.25">
      <c r="A207" s="49" t="str">
        <f>IFERROR(IF(OBEC!A2="","",OBEC!A2),"")</f>
        <v>OBEC_1_1</v>
      </c>
      <c r="B207" s="50" t="str">
        <f>IFERROR(IF(OBEC!B2="","",OBEC!B2),"")</f>
        <v>ข้อมูลตำแหน่งที่ตั้งและขอบเขตของสถานศึกษาในสังกัด สพฐ.</v>
      </c>
      <c r="C207" s="50" t="str">
        <f>IFERROR(IF(OBEC!A2="","",OBEC!C2&amp;CHAR(10)&amp;OBEC!D2&amp;CHAR(10)&amp;OBEC!E2),"")</f>
        <v>Forward-looking
Exposure
EXPOSED_ASSET</v>
      </c>
      <c r="D207" s="50" t="str">
        <f>IFERROR(IF(OBEC!F2="","",OBEC!F2),"")</f>
        <v>Cross-cutting (ทุกภัย)</v>
      </c>
      <c r="E207" s="50" t="str">
        <f>IFERROR(IF(OBEC!I2="","",OBEC!I2),"")</f>
        <v>2025 หรือล่าสุด</v>
      </c>
      <c r="F207" s="50" t="str">
        <f>IFERROR(IF(OBEC!K2="","",OBEC!K2),"")</f>
        <v>Annual</v>
      </c>
      <c r="G207" s="50" t="str">
        <f>IFERROR(IF(OBEC!A2="","",OBEC!L2&amp;" / "&amp;OBEC!M2),"")</f>
        <v>National / -</v>
      </c>
      <c r="H207" s="50" t="str">
        <f>IFERROR(IF(OBEC!A2="","",OBEC!N2&amp;" / "&amp;OBEC!O2),"")</f>
        <v>Shapefile / Vector; CSV; API / Web Service / Restricted</v>
      </c>
      <c r="I207" s="51" t="str">
        <f>IFERROR(IF(OBEC!P2="","",HYPERLINK(OBEC!P2,IF(LEN(OBEC!P2)&gt;45,LEFT(OBEC!P2,42)&amp;"...",OBEC!P2))),"")</f>
        <v>https://asset.bopp-obec.info/</v>
      </c>
    </row>
    <row r="208" spans="1:9" ht="24" x14ac:dyDescent="0.25">
      <c r="A208" s="57" t="s">
        <v>37</v>
      </c>
      <c r="B208" s="57"/>
      <c r="C208" s="57"/>
      <c r="D208" s="57"/>
      <c r="E208" s="57"/>
      <c r="F208" s="57"/>
      <c r="G208" s="57"/>
      <c r="H208" s="57"/>
      <c r="I208" s="57"/>
    </row>
    <row r="209" spans="1:9" ht="216" x14ac:dyDescent="0.25">
      <c r="A209" s="49" t="str">
        <f>IFERROR(IF(ONEP!A2="","",ONEP!A2),"")</f>
        <v>ONEP_1_1</v>
      </c>
      <c r="B209" s="50" t="str">
        <f>IFERROR(IF(ONEP!B2="","",ONEP!B2),"")</f>
        <v>จำนวนพื้นที่ชุมน้ำที่มีการประกาศเป็นพื้นที่อนุรักษ์รายจังหวัด</v>
      </c>
      <c r="C209" s="50" t="str">
        <f>IFERROR(IF(ONEP!A2="","",ONEP!C2&amp;CHAR(10)&amp;ONEP!D2&amp;CHAR(10)&amp;ONEP!E2),"")</f>
        <v>Forward-looking
Vulnerability
ADAPTIVE_CAPACITY</v>
      </c>
      <c r="D209" s="50" t="str">
        <f>IFERROR(IF(ONEP!F2="","",ONEP!F2),"")</f>
        <v>Drought (ภัยแล้ง); Heat (คลื่นความร้อน)</v>
      </c>
      <c r="E209" s="50" t="str">
        <f>IFERROR(IF(ONEP!I2="","",ONEP!I2),"")</f>
        <v>1960-2014; 2015-2040; 2041-2060; 2061-2080; 2081-2100</v>
      </c>
      <c r="F209" s="50" t="str">
        <f>IFERROR(IF(ONEP!K2="","",ONEP!K2),"")</f>
        <v>Annual</v>
      </c>
      <c r="G209" s="50" t="str">
        <f>IFERROR(IF(ONEP!A2="","",ONEP!L2&amp;" / "&amp;ONEP!M2),"")</f>
        <v>National / Province</v>
      </c>
      <c r="H209" s="50" t="str">
        <f>IFERROR(IF(ONEP!A2="","",ONEP!N2&amp;" / "&amp;ONEP!O2),"")</f>
        <v>CSV / Restricted</v>
      </c>
      <c r="I209" s="51" t="str">
        <f>IFERROR(IF(ONEP!P2="","",HYPERLINK(ONEP!P2,IF(LEN(ONEP!P2)&gt;45,LEFT(ONEP!P2,42)&amp;"...",ONEP!P2))),"")</f>
        <v>-</v>
      </c>
    </row>
    <row r="210" spans="1:9" ht="216" x14ac:dyDescent="0.25">
      <c r="A210" s="49" t="str">
        <f>IFERROR(IF(ONEP!A3="","",ONEP!A3),"")</f>
        <v>ONEP_1_2</v>
      </c>
      <c r="B210" s="50" t="str">
        <f>IFERROR(IF(ONEP!B3="","",ONEP!B3),"")</f>
        <v>จำนวนพื้นที่ชุมน้ำที่มีความสำคัญระดับชาติและนานาชาติรายจังหวัด</v>
      </c>
      <c r="C210" s="50" t="str">
        <f>IFERROR(IF(ONEP!A3="","",ONEP!C3&amp;CHAR(10)&amp;ONEP!D3&amp;CHAR(10)&amp;ONEP!E3),"")</f>
        <v>Forward-looking
Exposure
EXPOSED_ASSET</v>
      </c>
      <c r="D210" s="50" t="str">
        <f>IFERROR(IF(ONEP!F3="","",ONEP!F3),"")</f>
        <v>Drought (ภัยแล้ง); Heat (คลื่นความร้อน)</v>
      </c>
      <c r="E210" s="50" t="str">
        <f>IFERROR(IF(ONEP!I3="","",ONEP!I3),"")</f>
        <v>1960-2014; 2015-2040; 2041-2060; 2061-2080; 2081-2100</v>
      </c>
      <c r="F210" s="50" t="str">
        <f>IFERROR(IF(ONEP!K3="","",ONEP!K3),"")</f>
        <v>Annual</v>
      </c>
      <c r="G210" s="50" t="str">
        <f>IFERROR(IF(ONEP!A3="","",ONEP!L3&amp;" / "&amp;ONEP!M3),"")</f>
        <v>National / Province</v>
      </c>
      <c r="H210" s="50" t="str">
        <f>IFERROR(IF(ONEP!A3="","",ONEP!N3&amp;" / "&amp;ONEP!O3),"")</f>
        <v>CSV / Restricted</v>
      </c>
      <c r="I210" s="51" t="str">
        <f>IFERROR(IF(ONEP!P3="","",HYPERLINK(ONEP!P3,IF(LEN(ONEP!P3)&gt;45,LEFT(ONEP!P3,42)&amp;"...",ONEP!P3))),"")</f>
        <v>-</v>
      </c>
    </row>
    <row r="211" spans="1:9" ht="24" x14ac:dyDescent="0.25">
      <c r="A211" s="57" t="s">
        <v>38</v>
      </c>
      <c r="B211" s="57"/>
      <c r="C211" s="57"/>
      <c r="D211" s="57"/>
      <c r="E211" s="57"/>
      <c r="F211" s="57"/>
      <c r="G211" s="57"/>
      <c r="H211" s="57"/>
      <c r="I211" s="57"/>
    </row>
    <row r="212" spans="1:9" ht="144" x14ac:dyDescent="0.25">
      <c r="A212" s="49" t="str">
        <f>IFERROR(IF(OTP!A2="","",OTP!A2),"")</f>
        <v>OTP_1_1</v>
      </c>
      <c r="B212" s="50" t="str">
        <f>IFERROR(IF(OTP!B2="","",OTP!B2),"")</f>
        <v>ผลการประเมินความเสี่ยงโครงสร้างพื้นฐานคมนาคมต่อภัยพิบัติ (Climate Change Adaptation pilot for transport infrastructure)</v>
      </c>
      <c r="C212" s="50" t="str">
        <f>IFERROR(IF(OTP!A2="","",OTP!C2&amp;CHAR(10)&amp;OTP!D2&amp;CHAR(10)&amp;OTP!E2),"")</f>
        <v>Forward-looking
Risk Metric
RISK_METRIC</v>
      </c>
      <c r="D212" s="50" t="str">
        <f>IFERROR(IF(OTP!F2="","",OTP!F2),"")</f>
        <v>Flood (อุทกภัย); Landslide (ดินถล่ม); Sea-level Rise (ระดับน้ำทะเลสูงขึ้น)</v>
      </c>
      <c r="E212" s="50" t="str">
        <f>IFERROR(IF(OTP!I2="","",OTP!I2),"")</f>
        <v>50-100 ปี</v>
      </c>
      <c r="F212" s="50" t="str">
        <f>IFERROR(IF(OTP!K2="","",OTP!K2),"")</f>
        <v>Annual</v>
      </c>
      <c r="G212" s="50" t="str">
        <f>IFERROR(IF(OTP!A2="","",OTP!L2&amp;" / "&amp;OTP!M2),"")</f>
        <v>National / ระดับ km marker (highway) และเสาไฟ (railway)</v>
      </c>
      <c r="H212" s="50" t="str">
        <f>IFERROR(IF(OTP!A2="","",OTP!N2&amp;" / "&amp;OTP!O2),"")</f>
        <v>Shapefile; PDF Report / Restricted</v>
      </c>
      <c r="I212" s="51" t="str">
        <f>IFERROR(IF(OTP!P2="","",HYPERLINK(OTP!P2,IF(LEN(OTP!P2)&gt;45,LEFT(OTP!P2,42)&amp;"...",OTP!P2))),"")</f>
        <v>-</v>
      </c>
    </row>
    <row r="213" spans="1:9" ht="96" x14ac:dyDescent="0.25">
      <c r="A213" s="49" t="str">
        <f>IFERROR(IF(OTP!A3="","",OTP!A3),"")</f>
        <v>OTP_1_3</v>
      </c>
      <c r="B213" s="50" t="str">
        <f>IFERROR(IF(OTP!B3="","",OTP!B3),"")</f>
        <v>ข้อมูล Origin-Destination และเส้นทางการขนส่ง (Origin-Destination &amp; transport routes)</v>
      </c>
      <c r="C213" s="50" t="str">
        <f>IFERROR(IF(OTP!A3="","",OTP!C3&amp;CHAR(10)&amp;OTP!D3&amp;CHAR(10)&amp;OTP!E3),"")</f>
        <v>IMPACT (Backward-looking)
Exposure
EXPOSED_ASSET</v>
      </c>
      <c r="D213" s="50" t="str">
        <f>IFERROR(IF(OTP!F3="","",OTP!F3),"")</f>
        <v>Cross-cutting (ทุกภัย)</v>
      </c>
      <c r="E213" s="50" t="str">
        <f>IFERROR(IF(OTP!I3="","",OTP!I3),"")</f>
        <v>10 ปี</v>
      </c>
      <c r="F213" s="50" t="str">
        <f>IFERROR(IF(OTP!K3="","",OTP!K3),"")</f>
        <v>Annual</v>
      </c>
      <c r="G213" s="50" t="str">
        <f>IFERROR(IF(OTP!A3="","",OTP!L3&amp;" / "&amp;OTP!M3),"")</f>
        <v>National / -</v>
      </c>
      <c r="H213" s="50" t="str">
        <f>IFERROR(IF(OTP!A3="","",OTP!N3&amp;" / "&amp;OTP!O3),"")</f>
        <v>Shapefile; CSV / Restricted</v>
      </c>
      <c r="I213" s="51" t="str">
        <f>IFERROR(IF(OTP!P3="","",HYPERLINK(OTP!P3,IF(LEN(OTP!P3)&gt;45,LEFT(OTP!P3,42)&amp;"...",OTP!P3))),"")</f>
        <v>-</v>
      </c>
    </row>
    <row r="214" spans="1:9" ht="120" x14ac:dyDescent="0.25">
      <c r="A214" s="49" t="str">
        <f>IFERROR(IF(OTP!A4="","",OTP!A4),"")</f>
        <v>OTP_1_4</v>
      </c>
      <c r="B214" s="50" t="str">
        <f>IFERROR(IF(OTP!B4="","",OTP!B4),"")</f>
        <v>แบบจำลองอุทกวิทยาความละเอียดสูงเฉพาะเส้นทางคมนาคม (High-resolution hydrological model along transport routes)</v>
      </c>
      <c r="C214" s="50" t="str">
        <f>IFERROR(IF(OTP!A4="","",OTP!C4&amp;CHAR(10)&amp;OTP!D4&amp;CHAR(10)&amp;OTP!E4),"")</f>
        <v>Forward-looking
Hazard
HAZARD_MAP</v>
      </c>
      <c r="D214" s="50" t="str">
        <f>IFERROR(IF(OTP!F4="","",OTP!F4),"")</f>
        <v>Flood (อุทกภัย)</v>
      </c>
      <c r="E214" s="50" t="str">
        <f>IFERROR(IF(OTP!I4="","",OTP!I4),"")</f>
        <v>50-100 ปี</v>
      </c>
      <c r="F214" s="50" t="str">
        <f>IFERROR(IF(OTP!K4="","",OTP!K4),"")</f>
        <v>Event-based</v>
      </c>
      <c r="G214" s="50" t="str">
        <f>IFERROR(IF(OTP!A4="","",OTP!L4&amp;" / "&amp;OTP!M4),"")</f>
        <v>Sub-national / ระดับ km marker</v>
      </c>
      <c r="H214" s="50" t="str">
        <f>IFERROR(IF(OTP!A4="","",OTP!N4&amp;" / "&amp;OTP!O4),"")</f>
        <v>GeoTIFF / Raster; Shapefile / Restricted</v>
      </c>
      <c r="I214" s="51" t="str">
        <f>IFERROR(IF(OTP!P4="","",HYPERLINK(OTP!P4,IF(LEN(OTP!P4)&gt;45,LEFT(OTP!P4,42)&amp;"...",OTP!P4))),"")</f>
        <v>-</v>
      </c>
    </row>
    <row r="215" spans="1:9" ht="24" x14ac:dyDescent="0.25">
      <c r="A215" s="57" t="s">
        <v>39</v>
      </c>
      <c r="B215" s="57"/>
      <c r="C215" s="57"/>
      <c r="D215" s="57"/>
      <c r="E215" s="57"/>
      <c r="F215" s="57"/>
      <c r="G215" s="57"/>
      <c r="H215" s="57"/>
      <c r="I215" s="57"/>
    </row>
    <row r="216" spans="1:9" ht="120" x14ac:dyDescent="0.25">
      <c r="A216" s="49" t="str">
        <f>IFERROR(IF(PWA!A2="","",PWA!A2),"")</f>
        <v>PWA_1_1</v>
      </c>
      <c r="B216" s="50" t="str">
        <f>IFERROR(IF(PWA!B2="","",PWA!B2),"")</f>
        <v>ข้อมูลตำแหน่งที่ตั้งและขอบเขตของโรงประปาส่วนภูมิภาค</v>
      </c>
      <c r="C216" s="50" t="str">
        <f>IFERROR(IF(PWA!A2="","",PWA!C2&amp;CHAR(10)&amp;PWA!D2&amp;CHAR(10)&amp;PWA!E2),"")</f>
        <v>Forward-looking
Exposure
EXPOSED_ASSET</v>
      </c>
      <c r="D216" s="50" t="str">
        <f>IFERROR(IF(PWA!F2="","",PWA!F2),"")</f>
        <v>Cross-cutting (ทุกภัย)</v>
      </c>
      <c r="E216" s="50" t="str">
        <f>IFERROR(IF(PWA!I2="","",PWA!I2),"")</f>
        <v>2025 หรือล่าสุด</v>
      </c>
      <c r="F216" s="50" t="str">
        <f>IFERROR(IF(PWA!K2="","",PWA!K2),"")</f>
        <v>Annual</v>
      </c>
      <c r="G216" s="50" t="str">
        <f>IFERROR(IF(PWA!A2="","",PWA!L2&amp;" / "&amp;PWA!M2),"")</f>
        <v>National / Point</v>
      </c>
      <c r="H216" s="50" t="str">
        <f>IFERROR(IF(PWA!A2="","",PWA!N2&amp;" / "&amp;PWA!O2),"")</f>
        <v>Shapefile / Vector; CSV; API / Web Service / Restricted</v>
      </c>
      <c r="I216" s="51" t="str">
        <f>IFERROR(IF(PWA!P2="","",HYPERLINK(PWA!P2,IF(LEN(PWA!P2)&gt;45,LEFT(PWA!P2,42)&amp;"...",PWA!P2))),"")</f>
        <v>https://gisapp.pwa.co.th/p/home</v>
      </c>
    </row>
    <row r="217" spans="1:9" ht="216" x14ac:dyDescent="0.25">
      <c r="A217" s="49" t="str">
        <f>IFERROR(IF(PWA!A3="","",PWA!A3),"")</f>
        <v>PWA_2_1</v>
      </c>
      <c r="B217" s="50" t="str">
        <f>IFERROR(IF(PWA!B3="","",PWA!B3),"")</f>
        <v>ปริมาณน้ำใช้อุปโภคบริโภคและอุตสาหกรรม</v>
      </c>
      <c r="C217" s="50" t="str">
        <f>IFERROR(IF(PWA!A3="","",PWA!C3&amp;CHAR(10)&amp;PWA!D3&amp;CHAR(10)&amp;PWA!E3),"")</f>
        <v>Forward-looking
Exposure
EXPOSED_ASSET</v>
      </c>
      <c r="D217" s="50" t="str">
        <f>IFERROR(IF(PWA!F3="","",PWA!F3),"")</f>
        <v>Drought (ภัยแล้ง); Heat (คลื่นความร้อน)</v>
      </c>
      <c r="E217" s="50" t="str">
        <f>IFERROR(IF(PWA!I3="","",PWA!I3),"")</f>
        <v>1960-2014; 2015-2040; 2041-2060; 2061-2080; 2081-2100</v>
      </c>
      <c r="F217" s="50" t="str">
        <f>IFERROR(IF(PWA!K3="","",PWA!K3),"")</f>
        <v>Annual</v>
      </c>
      <c r="G217" s="50" t="str">
        <f>IFERROR(IF(PWA!A3="","",PWA!L3&amp;" / "&amp;PWA!M3),"")</f>
        <v>National / Province</v>
      </c>
      <c r="H217" s="50" t="str">
        <f>IFERROR(IF(PWA!A3="","",PWA!N3&amp;" / "&amp;PWA!O3),"")</f>
        <v>CSV / Restricted</v>
      </c>
      <c r="I217" s="51" t="str">
        <f>IFERROR(IF(PWA!P3="","",HYPERLINK(PWA!P3,IF(LEN(PWA!P3)&gt;45,LEFT(PWA!P3,42)&amp;"...",PWA!P3))),"")</f>
        <v>-</v>
      </c>
    </row>
    <row r="218" spans="1:9" ht="216" x14ac:dyDescent="0.25">
      <c r="A218" s="49" t="str">
        <f>IFERROR(IF(PWA!A4="","",PWA!A4),"")</f>
        <v>PWA_2_2</v>
      </c>
      <c r="B218" s="50" t="str">
        <f>IFERROR(IF(PWA!B4="","",PWA!B4),"")</f>
        <v>เขตการให้บริการน้ำประปาส่วนภูมิภาค</v>
      </c>
      <c r="C218" s="50" t="str">
        <f>IFERROR(IF(PWA!A4="","",PWA!C4&amp;CHAR(10)&amp;PWA!D4&amp;CHAR(10)&amp;PWA!E4),"")</f>
        <v>Forward-looking
Exposure
EXPOSED_ASSET</v>
      </c>
      <c r="D218" s="50" t="str">
        <f>IFERROR(IF(PWA!F4="","",PWA!F4),"")</f>
        <v>Drought (ภัยแล้ง); Heat (คลื่นความร้อน)</v>
      </c>
      <c r="E218" s="50" t="str">
        <f>IFERROR(IF(PWA!I4="","",PWA!I4),"")</f>
        <v>1960-2014; 2015-2040; 2041-2060; 2061-2080; 2081-2100</v>
      </c>
      <c r="F218" s="50" t="str">
        <f>IFERROR(IF(PWA!K4="","",PWA!K4),"")</f>
        <v>Annual</v>
      </c>
      <c r="G218" s="50" t="str">
        <f>IFERROR(IF(PWA!A4="","",PWA!L4&amp;" / "&amp;PWA!M4),"")</f>
        <v>National / Province</v>
      </c>
      <c r="H218" s="50" t="str">
        <f>IFERROR(IF(PWA!A4="","",PWA!N4&amp;" / "&amp;PWA!O4),"")</f>
        <v>CSV / Restricted</v>
      </c>
      <c r="I218" s="51" t="str">
        <f>IFERROR(IF(PWA!P4="","",HYPERLINK(PWA!P4,IF(LEN(PWA!P4)&gt;45,LEFT(PWA!P4,42)&amp;"...",PWA!P4))),"")</f>
        <v>-</v>
      </c>
    </row>
    <row r="219" spans="1:9" ht="216" x14ac:dyDescent="0.25">
      <c r="A219" s="49" t="str">
        <f>IFERROR(IF(PWA!A5="","",PWA!A5),"")</f>
        <v>PWA_2_3</v>
      </c>
      <c r="B219" s="50" t="str">
        <f>IFERROR(IF(PWA!B5="","",PWA!B5),"")</f>
        <v>โครงสร้างพื้นฐานด้านประปา</v>
      </c>
      <c r="C219" s="50" t="str">
        <f>IFERROR(IF(PWA!A5="","",PWA!C5&amp;CHAR(10)&amp;PWA!D5&amp;CHAR(10)&amp;PWA!E5),"")</f>
        <v>Forward-looking
Exposure
EXPOSED_ASSET</v>
      </c>
      <c r="D219" s="50" t="str">
        <f>IFERROR(IF(PWA!F5="","",PWA!F5),"")</f>
        <v>Flood (อุทกภัย)</v>
      </c>
      <c r="E219" s="50" t="str">
        <f>IFERROR(IF(PWA!I5="","",PWA!I5),"")</f>
        <v>1960-2014; 2015-2040; 2041-2060; 2061-2080; 2081-2100</v>
      </c>
      <c r="F219" s="50" t="str">
        <f>IFERROR(IF(PWA!K5="","",PWA!K5),"")</f>
        <v>Annual</v>
      </c>
      <c r="G219" s="50" t="str">
        <f>IFERROR(IF(PWA!A5="","",PWA!L5&amp;" / "&amp;PWA!M5),"")</f>
        <v>National / Province</v>
      </c>
      <c r="H219" s="50" t="str">
        <f>IFERROR(IF(PWA!A5="","",PWA!N5&amp;" / "&amp;PWA!O5),"")</f>
        <v>CSV / Restricted</v>
      </c>
      <c r="I219" s="51" t="str">
        <f>IFERROR(IF(PWA!P5="","",HYPERLINK(PWA!P5,IF(LEN(PWA!P5)&gt;45,LEFT(PWA!P5,42)&amp;"...",PWA!P5))),"")</f>
        <v>-</v>
      </c>
    </row>
    <row r="220" spans="1:9" ht="216" x14ac:dyDescent="0.25">
      <c r="A220" s="49" t="str">
        <f>IFERROR(IF(PWA!A6="","",PWA!A6),"")</f>
        <v>PWA_2_4</v>
      </c>
      <c r="B220" s="50" t="str">
        <f>IFERROR(IF(PWA!B6="","",PWA!B6),"")</f>
        <v>สัดส่วนของหมู่บ้านหรือพื้นที่ให้บริการน้ำประปาต่อหมู่บ้านทั้งหมด</v>
      </c>
      <c r="C220" s="50" t="str">
        <f>IFERROR(IF(PWA!A6="","",PWA!C6&amp;CHAR(10)&amp;PWA!D6&amp;CHAR(10)&amp;PWA!E6),"")</f>
        <v>Forward-looking
Vulnerability
SENSITIVITY</v>
      </c>
      <c r="D220" s="50" t="str">
        <f>IFERROR(IF(PWA!F6="","",PWA!F6),"")</f>
        <v>Drought (ภัยแล้ง); Flood (อุทกภัย); Heat (คลื่นความร้อน)</v>
      </c>
      <c r="E220" s="50" t="str">
        <f>IFERROR(IF(PWA!I6="","",PWA!I6),"")</f>
        <v>1960-2014; 2015-2040; 2041-2060; 2061-2080; 2081-2100</v>
      </c>
      <c r="F220" s="50" t="str">
        <f>IFERROR(IF(PWA!K6="","",PWA!K6),"")</f>
        <v>Annual</v>
      </c>
      <c r="G220" s="50" t="str">
        <f>IFERROR(IF(PWA!A6="","",PWA!L6&amp;" / "&amp;PWA!M6),"")</f>
        <v>National / Province</v>
      </c>
      <c r="H220" s="50" t="str">
        <f>IFERROR(IF(PWA!A6="","",PWA!N6&amp;" / "&amp;PWA!O6),"")</f>
        <v>CSV / Restricted</v>
      </c>
      <c r="I220" s="51" t="str">
        <f>IFERROR(IF(PWA!P6="","",HYPERLINK(PWA!P6,IF(LEN(PWA!P6)&gt;45,LEFT(PWA!P6,42)&amp;"...",PWA!P6))),"")</f>
        <v>-</v>
      </c>
    </row>
    <row r="221" spans="1:9" ht="24" x14ac:dyDescent="0.25">
      <c r="A221" s="57" t="s">
        <v>40</v>
      </c>
      <c r="B221" s="57"/>
      <c r="C221" s="57"/>
      <c r="D221" s="57"/>
      <c r="E221" s="57"/>
      <c r="F221" s="57"/>
      <c r="G221" s="57"/>
      <c r="H221" s="57"/>
      <c r="I221" s="57"/>
    </row>
    <row r="222" spans="1:9" ht="72" x14ac:dyDescent="0.25">
      <c r="A222" s="49" t="str">
        <f>IFERROR(IF(SRT!A2="","",SRT!A2),"")</f>
        <v>SRT_1_1</v>
      </c>
      <c r="B222" s="50" t="str">
        <f>IFERROR(IF(SRT!B2="","",SRT!B2),"")</f>
        <v>แนวเส้นทางรถไฟ</v>
      </c>
      <c r="C222" s="50" t="str">
        <f>IFERROR(IF(SRT!A2="","",SRT!C2&amp;CHAR(10)&amp;SRT!D2&amp;CHAR(10)&amp;SRT!E2),"")</f>
        <v>Forward-looking
Exposure
EXPOSED_ASSET</v>
      </c>
      <c r="D222" s="50" t="str">
        <f>IFERROR(IF(SRT!F2="","",SRT!F2),"")</f>
        <v>Cross-cutting (ทุกภัย)</v>
      </c>
      <c r="E222" s="50" t="str">
        <f>IFERROR(IF(SRT!I2="","",SRT!I2),"")</f>
        <v>Unknown</v>
      </c>
      <c r="F222" s="50" t="str">
        <f>IFERROR(IF(SRT!K2="","",SRT!K2),"")</f>
        <v>Unknown</v>
      </c>
      <c r="G222" s="50" t="str">
        <f>IFERROR(IF(SRT!A2="","",SRT!L2&amp;" / "&amp;SRT!M2),"")</f>
        <v>National / -</v>
      </c>
      <c r="H222" s="50" t="str">
        <f>IFERROR(IF(SRT!A2="","",SRT!N2&amp;" / "&amp;SRT!O2),"")</f>
        <v>Shapefile / Restricted</v>
      </c>
      <c r="I222" s="51" t="str">
        <f>IFERROR(IF(SRT!P2="","",HYPERLINK(SRT!P2,IF(LEN(SRT!P2)&gt;45,LEFT(SRT!P2,42)&amp;"...",SRT!P2))),"")</f>
        <v>https://www.railway.co.th/Home/Index</v>
      </c>
    </row>
    <row r="223" spans="1:9" ht="24" x14ac:dyDescent="0.25">
      <c r="A223" s="57" t="s">
        <v>41</v>
      </c>
      <c r="B223" s="57"/>
      <c r="C223" s="57"/>
      <c r="D223" s="57"/>
      <c r="E223" s="57"/>
      <c r="F223" s="57"/>
      <c r="G223" s="57"/>
      <c r="H223" s="57"/>
      <c r="I223" s="57"/>
    </row>
    <row r="224" spans="1:9" ht="72" x14ac:dyDescent="0.25">
      <c r="A224" s="49" t="str">
        <f>IFERROR(IF(TMD!A2="","",TMD!A2),"")</f>
        <v>TMD_1_1</v>
      </c>
      <c r="B224" s="50" t="str">
        <f>IFERROR(IF(TMD!B2="","",TMD!B2),"")</f>
        <v>ปริมาณฝนสะสม 1 ชั่วโมง (P1H)</v>
      </c>
      <c r="C224" s="50" t="str">
        <f>IFERROR(IF(TMD!A2="","",TMD!C2&amp;CHAR(10)&amp;TMD!D2&amp;CHAR(10)&amp;TMD!E2),"")</f>
        <v>Forward-looking
Climate Driver
CLIMATE_DRIVER</v>
      </c>
      <c r="D224" s="50" t="str">
        <f>IFERROR(IF(TMD!F2="","",TMD!F2),"")</f>
        <v>น้ำท่วม (Flood)</v>
      </c>
      <c r="E224" s="50" t="str">
        <f>IFERROR(IF(TMD!I2="","",TMD!I2),"")</f>
        <v>3 days</v>
      </c>
      <c r="F224" s="50" t="str">
        <f>IFERROR(IF(TMD!K2="","",TMD!K2),"")</f>
        <v>Hourly</v>
      </c>
      <c r="G224" s="50" t="str">
        <f>IFERROR(IF(TMD!A2="","",TMD!L2&amp;" / "&amp;TMD!M2),"")</f>
        <v>National / 3 km (Grid)</v>
      </c>
      <c r="H224" s="50" t="str">
        <f>IFERROR(IF(TMD!A2="","",TMD!N2&amp;" / "&amp;TMD!O2),"")</f>
        <v>PNG / Image / Open</v>
      </c>
      <c r="I224" s="51" t="str">
        <f>IFERROR(IF(TMD!P2="","",HYPERLINK(TMD!P2,IF(LEN(TMD!P2)&gt;45,LEFT(TMD!P2,42)&amp;"...",TMD!P2))),"")</f>
        <v>https://hpc.tmd.go.th/imgda</v>
      </c>
    </row>
    <row r="225" spans="1:9" ht="72" x14ac:dyDescent="0.25">
      <c r="A225" s="49" t="str">
        <f>IFERROR(IF(TMD!A3="","",TMD!A3),"")</f>
        <v>TMD_1_2</v>
      </c>
      <c r="B225" s="50" t="str">
        <f>IFERROR(IF(TMD!B3="","",TMD!B3),"")</f>
        <v>ปริมาณฝนสะสม 24 ชั่วโมง (P24H)</v>
      </c>
      <c r="C225" s="50" t="str">
        <f>IFERROR(IF(TMD!A3="","",TMD!C3&amp;CHAR(10)&amp;TMD!D3&amp;CHAR(10)&amp;TMD!E3),"")</f>
        <v>Forward-looking
Climate Driver
CLIMATE_DRIVER</v>
      </c>
      <c r="D225" s="50" t="str">
        <f>IFERROR(IF(TMD!F3="","",TMD!F3),"")</f>
        <v>Flood (น้ำท่วม); Landslide (ดินถล่ม)</v>
      </c>
      <c r="E225" s="50" t="str">
        <f>IFERROR(IF(TMD!I3="","",TMD!I3),"")</f>
        <v>3 days</v>
      </c>
      <c r="F225" s="50" t="str">
        <f>IFERROR(IF(TMD!K3="","",TMD!K3),"")</f>
        <v>Daily</v>
      </c>
      <c r="G225" s="50" t="str">
        <f>IFERROR(IF(TMD!A3="","",TMD!L3&amp;" / "&amp;TMD!M3),"")</f>
        <v>National / 3 km (Grid)</v>
      </c>
      <c r="H225" s="50" t="str">
        <f>IFERROR(IF(TMD!A3="","",TMD!N3&amp;" / "&amp;TMD!O3),"")</f>
        <v>PNG / Image / Open</v>
      </c>
      <c r="I225" s="51" t="str">
        <f>IFERROR(IF(TMD!P3="","",HYPERLINK(TMD!P3,IF(LEN(TMD!P3)&gt;45,LEFT(TMD!P3,42)&amp;"...",TMD!P3))),"")</f>
        <v>https://hpc.tmd.go.th/imgda</v>
      </c>
    </row>
    <row r="226" spans="1:9" ht="72" x14ac:dyDescent="0.25">
      <c r="A226" s="49" t="str">
        <f>IFERROR(IF(TMD!A4="","",TMD!A4),"")</f>
        <v>TMD_1_3</v>
      </c>
      <c r="B226" s="50" t="str">
        <f>IFERROR(IF(TMD!B4="","",TMD!B4),"")</f>
        <v>ความกดอากาศระดับน้ำทะเลปานกลาง (PRMSL)</v>
      </c>
      <c r="C226" s="50" t="str">
        <f>IFERROR(IF(TMD!A4="","",TMD!C4&amp;CHAR(10)&amp;TMD!D4&amp;CHAR(10)&amp;TMD!E4),"")</f>
        <v>Forward-looking
Climate Driver
CLIMATE_DRIVER</v>
      </c>
      <c r="D226" s="50" t="str">
        <f>IFERROR(IF(TMD!F4="","",TMD!F4),"")</f>
        <v>Storm (พายุ)</v>
      </c>
      <c r="E226" s="50" t="str">
        <f>IFERROR(IF(TMD!I4="","",TMD!I4),"")</f>
        <v>3 days</v>
      </c>
      <c r="F226" s="50" t="str">
        <f>IFERROR(IF(TMD!K4="","",TMD!K4),"")</f>
        <v>Sub-daily</v>
      </c>
      <c r="G226" s="50" t="str">
        <f>IFERROR(IF(TMD!A4="","",TMD!L4&amp;" / "&amp;TMD!M4),"")</f>
        <v>National / 3 km (Grid)</v>
      </c>
      <c r="H226" s="50" t="str">
        <f>IFERROR(IF(TMD!A4="","",TMD!N4&amp;" / "&amp;TMD!O4),"")</f>
        <v>PNG / Image / Open</v>
      </c>
      <c r="I226" s="51" t="str">
        <f>IFERROR(IF(TMD!P4="","",HYPERLINK(TMD!P4,IF(LEN(TMD!P4)&gt;45,LEFT(TMD!P4,42)&amp;"...",TMD!P4))),"")</f>
        <v>https://hpc.tmd.go.th/imgda</v>
      </c>
    </row>
    <row r="227" spans="1:9" ht="72" x14ac:dyDescent="0.25">
      <c r="A227" s="49" t="str">
        <f>IFERROR(IF(TMD!A5="","",TMD!A5),"")</f>
        <v>TMD_1_4</v>
      </c>
      <c r="B227" s="50" t="str">
        <f>IFERROR(IF(TMD!B5="","",TMD!B5),"")</f>
        <v>ความชื้นสัมพัทธ์ (RHUM)</v>
      </c>
      <c r="C227" s="50" t="str">
        <f>IFERROR(IF(TMD!A5="","",TMD!C5&amp;CHAR(10)&amp;TMD!D5&amp;CHAR(10)&amp;TMD!E5),"")</f>
        <v>Forward-looking
Climate Driver
CLIMATE_DRIVER</v>
      </c>
      <c r="D227" s="50" t="str">
        <f>IFERROR(IF(TMD!F5="","",TMD!F5),"")</f>
        <v>Drought (ภัยแล้ง); Wildfire (ไฟป่า)</v>
      </c>
      <c r="E227" s="50" t="str">
        <f>IFERROR(IF(TMD!I5="","",TMD!I5),"")</f>
        <v>3 days</v>
      </c>
      <c r="F227" s="50" t="str">
        <f>IFERROR(IF(TMD!K5="","",TMD!K5),"")</f>
        <v>Sub-daily</v>
      </c>
      <c r="G227" s="50" t="str">
        <f>IFERROR(IF(TMD!A5="","",TMD!L5&amp;" / "&amp;TMD!M5),"")</f>
        <v>National / 3 km (Grid)</v>
      </c>
      <c r="H227" s="50" t="str">
        <f>IFERROR(IF(TMD!A5="","",TMD!N5&amp;" / "&amp;TMD!O5),"")</f>
        <v>PNG / Image / Open</v>
      </c>
      <c r="I227" s="51" t="str">
        <f>IFERROR(IF(TMD!P5="","",HYPERLINK(TMD!P5,IF(LEN(TMD!P5)&gt;45,LEFT(TMD!P5,42)&amp;"...",TMD!P5))),"")</f>
        <v>https://hpc.tmd.go.th/imgda</v>
      </c>
    </row>
    <row r="228" spans="1:9" ht="72" x14ac:dyDescent="0.25">
      <c r="A228" s="49" t="str">
        <f>IFERROR(IF(TMD!A6="","",TMD!A6),"")</f>
        <v>TMD_1_5</v>
      </c>
      <c r="B228" s="50" t="str">
        <f>IFERROR(IF(TMD!B6="","",TMD!B6),"")</f>
        <v>อุณหภูมิผิวพื้น ที่ระดับ 2 เมตร (T2M)</v>
      </c>
      <c r="C228" s="50" t="str">
        <f>IFERROR(IF(TMD!A6="","",TMD!C6&amp;CHAR(10)&amp;TMD!D6&amp;CHAR(10)&amp;TMD!E6),"")</f>
        <v>Forward-looking
Climate Driver
CLIMATE_DRIVER</v>
      </c>
      <c r="D228" s="50" t="str">
        <f>IFERROR(IF(TMD!F6="","",TMD!F6),"")</f>
        <v>Heat (คลื่นความร้อน); Drought (ภัยแล้ง)</v>
      </c>
      <c r="E228" s="50" t="str">
        <f>IFERROR(IF(TMD!I6="","",TMD!I6),"")</f>
        <v>3 days</v>
      </c>
      <c r="F228" s="50" t="str">
        <f>IFERROR(IF(TMD!K6="","",TMD!K6),"")</f>
        <v>Sub-daily</v>
      </c>
      <c r="G228" s="50" t="str">
        <f>IFERROR(IF(TMD!A6="","",TMD!L6&amp;" / "&amp;TMD!M6),"")</f>
        <v>National / 3 km (Grid)</v>
      </c>
      <c r="H228" s="50" t="str">
        <f>IFERROR(IF(TMD!A6="","",TMD!N6&amp;" / "&amp;TMD!O6),"")</f>
        <v>PNG / Image / Open</v>
      </c>
      <c r="I228" s="51" t="str">
        <f>IFERROR(IF(TMD!P6="","",HYPERLINK(TMD!P6,IF(LEN(TMD!P6)&gt;45,LEFT(TMD!P6,42)&amp;"...",TMD!P6))),"")</f>
        <v>https://hpc.tmd.go.th/imgda</v>
      </c>
    </row>
    <row r="229" spans="1:9" ht="72" x14ac:dyDescent="0.25">
      <c r="A229" s="49" t="str">
        <f>IFERROR(IF(TMD!A7="","",TMD!A7),"")</f>
        <v>TMD_1_6</v>
      </c>
      <c r="B229" s="50" t="str">
        <f>IFERROR(IF(TMD!B7="","",TMD!B7),"")</f>
        <v>ลมระดับ 10 เมตร (W10M)</v>
      </c>
      <c r="C229" s="50" t="str">
        <f>IFERROR(IF(TMD!A7="","",TMD!C7&amp;CHAR(10)&amp;TMD!D7&amp;CHAR(10)&amp;TMD!E7),"")</f>
        <v>Forward-looking
Climate Driver
CLIMATE_DRIVER</v>
      </c>
      <c r="D229" s="50" t="str">
        <f>IFERROR(IF(TMD!F7="","",TMD!F7),"")</f>
        <v>Storm (พายุ)</v>
      </c>
      <c r="E229" s="50" t="str">
        <f>IFERROR(IF(TMD!I7="","",TMD!I7),"")</f>
        <v>3 days</v>
      </c>
      <c r="F229" s="50" t="str">
        <f>IFERROR(IF(TMD!K7="","",TMD!K7),"")</f>
        <v>Sub-daily</v>
      </c>
      <c r="G229" s="50" t="str">
        <f>IFERROR(IF(TMD!A7="","",TMD!L7&amp;" / "&amp;TMD!M7),"")</f>
        <v>National / 3 km (Grid)</v>
      </c>
      <c r="H229" s="50" t="str">
        <f>IFERROR(IF(TMD!A7="","",TMD!N7&amp;" / "&amp;TMD!O7),"")</f>
        <v>PNG / Image / Open</v>
      </c>
      <c r="I229" s="51" t="str">
        <f>IFERROR(IF(TMD!P7="","",HYPERLINK(TMD!P7,IF(LEN(TMD!P7)&gt;45,LEFT(TMD!P7,42)&amp;"...",TMD!P7))),"")</f>
        <v>https://hpc.tmd.go.th/imgda</v>
      </c>
    </row>
    <row r="230" spans="1:9" ht="120" x14ac:dyDescent="0.25">
      <c r="A230" s="49" t="str">
        <f>IFERROR(IF(TMD!A8="","",TMD!A8),"")</f>
        <v>TMD_5_1</v>
      </c>
      <c r="B230" s="50" t="str">
        <f>IFERROR(IF(TMD!B8="","",TMD!B8),"")</f>
        <v>ดัชนีความร้อน (Heat index) — WebGIS DCCE</v>
      </c>
      <c r="C230" s="50" t="str">
        <f>IFERROR(IF(TMD!A8="","",TMD!C8&amp;CHAR(10)&amp;TMD!D8&amp;CHAR(10)&amp;TMD!E8),"")</f>
        <v>Forward-looking
Climate Driver
CLIMATE_DRIVER</v>
      </c>
      <c r="D230" s="50" t="str">
        <f>IFERROR(IF(TMD!F8="","",TMD!F8),"")</f>
        <v>Heat (คลื่นความร้อน)</v>
      </c>
      <c r="E230" s="50" t="str">
        <f>IFERROR(IF(TMD!I8="","",TMD!I8),"")</f>
        <v>Unknown</v>
      </c>
      <c r="F230" s="50" t="str">
        <f>IFERROR(IF(TMD!K8="","",TMD!K8),"")</f>
        <v>Annual</v>
      </c>
      <c r="G230" s="50" t="str">
        <f>IFERROR(IF(TMD!A8="","",TMD!L8&amp;" / "&amp;TMD!M8),"")</f>
        <v>National / -</v>
      </c>
      <c r="H230" s="50" t="str">
        <f>IFERROR(IF(TMD!A8="","",TMD!N8&amp;" / "&amp;TMD!O8),"")</f>
        <v>Shapefile / Vector; CSV; API / Web Service / Restricted</v>
      </c>
      <c r="I230" s="51" t="str">
        <f>IFERROR(IF(TMD!P8="","",HYPERLINK(TMD!P8,IF(LEN(TMD!P8)&gt;45,LEFT(TMD!P8,42)&amp;"...",TMD!P8))),"")</f>
        <v>https://data.tmd.go.th/dataset/index.php</v>
      </c>
    </row>
    <row r="231" spans="1:9" ht="120" x14ac:dyDescent="0.25">
      <c r="A231" s="49" t="str">
        <f>IFERROR(IF(TMD!A9="","",TMD!A9),"")</f>
        <v>TMD_4_1</v>
      </c>
      <c r="B231" s="50" t="str">
        <f>IFERROR(IF(TMD!B9="","",TMD!B9),"")</f>
        <v>เส้นทางพายุ — WebGIS DCCE (พายุหมุนเขตร้อน)</v>
      </c>
      <c r="C231" s="50" t="str">
        <f>IFERROR(IF(TMD!A9="","",TMD!C9&amp;CHAR(10)&amp;TMD!D9&amp;CHAR(10)&amp;TMD!E9),"")</f>
        <v>Forward-looking
Hazard
HAZARDOUS_EVENT</v>
      </c>
      <c r="D231" s="50" t="str">
        <f>IFERROR(IF(TMD!F9="","",TMD!F9),"")</f>
        <v>Storm (พายุ)</v>
      </c>
      <c r="E231" s="50" t="str">
        <f>IFERROR(IF(TMD!I9="","",TMD!I9),"")</f>
        <v>Unknown</v>
      </c>
      <c r="F231" s="50" t="str">
        <f>IFERROR(IF(TMD!K9="","",TMD!K9),"")</f>
        <v>Annual</v>
      </c>
      <c r="G231" s="50" t="str">
        <f>IFERROR(IF(TMD!A9="","",TMD!L9&amp;" / "&amp;TMD!M9),"")</f>
        <v>National / -</v>
      </c>
      <c r="H231" s="50" t="str">
        <f>IFERROR(IF(TMD!A9="","",TMD!N9&amp;" / "&amp;TMD!O9),"")</f>
        <v>Shapefile / Vector; CSV; API / Web Service / Restricted</v>
      </c>
      <c r="I231" s="51" t="str">
        <f>IFERROR(IF(TMD!P9="","",HYPERLINK(TMD!P9,IF(LEN(TMD!P9)&gt;45,LEFT(TMD!P9,42)&amp;"...",TMD!P9))),"")</f>
        <v>https://www.tmd.go.th/climate/climateStat/...</v>
      </c>
    </row>
    <row r="232" spans="1:9" ht="96" x14ac:dyDescent="0.25">
      <c r="A232" s="49" t="str">
        <f>IFERROR(IF(TMD!A10="","",TMD!A10),"")</f>
        <v>TMD_2_1</v>
      </c>
      <c r="B232" s="50" t="str">
        <f>IFERROR(IF(TMD!B10="","",TMD!B10),"")</f>
        <v>ดัชนีความร้อน (Heat index) — คำนวณ</v>
      </c>
      <c r="C232" s="50" t="str">
        <f>IFERROR(IF(TMD!A10="","",TMD!C10&amp;CHAR(10)&amp;TMD!D10&amp;CHAR(10)&amp;TMD!E10),"")</f>
        <v>Forward-looking
Hazard
METEOROLOGICAL_OBSERVATION</v>
      </c>
      <c r="D232" s="50" t="str">
        <f>IFERROR(IF(TMD!F10="","",TMD!F10),"")</f>
        <v>Heat (คลื่นความร้อน)</v>
      </c>
      <c r="E232" s="50" t="str">
        <f>IFERROR(IF(TMD!I10="","",TMD!I10),"")</f>
        <v>2014-2019</v>
      </c>
      <c r="F232" s="50" t="str">
        <f>IFERROR(IF(TMD!K10="","",TMD!K10),"")</f>
        <v>-</v>
      </c>
      <c r="G232" s="50" t="str">
        <f>IFERROR(IF(TMD!A10="","",TMD!L10&amp;" / "&amp;TMD!M10),"")</f>
        <v>National / Province</v>
      </c>
      <c r="H232" s="50" t="str">
        <f>IFERROR(IF(TMD!A10="","",TMD!N10&amp;" / "&amp;TMD!O10),"")</f>
        <v>Image / Open</v>
      </c>
      <c r="I232" s="51" t="str">
        <f>IFERROR(IF(TMD!P10="","",HYPERLINK(TMD!P10,IF(LEN(TMD!P10)&gt;45,LEFT(TMD!P10,42)&amp;"...",TMD!P10))),"")</f>
        <v>http://www.rnd.tmd.go.th/heatindexanalysis/</v>
      </c>
    </row>
    <row r="233" spans="1:9" ht="72" x14ac:dyDescent="0.25">
      <c r="A233" s="49" t="str">
        <f>IFERROR(IF(TMD!A11="","",TMD!A11),"")</f>
        <v>TMD_3_1</v>
      </c>
      <c r="B233" s="50" t="str">
        <f>IFERROR(IF(TMD!B11="","",TMD!B11),"")</f>
        <v>เส้นทางพายุ — ข้อมูลเหตุการณ์ภัย</v>
      </c>
      <c r="C233" s="50" t="str">
        <f>IFERROR(IF(TMD!A11="","",TMD!C11&amp;CHAR(10)&amp;TMD!D11&amp;CHAR(10)&amp;TMD!E11),"")</f>
        <v>Forward-looking
Hazard
HAZARDOUS_EVENT</v>
      </c>
      <c r="D233" s="50" t="str">
        <f>IFERROR(IF(TMD!F11="","",TMD!F11),"")</f>
        <v>Storm (พายุ)</v>
      </c>
      <c r="E233" s="50" t="str">
        <f>IFERROR(IF(TMD!I11="","",TMD!I11),"")</f>
        <v>-</v>
      </c>
      <c r="F233" s="50" t="str">
        <f>IFERROR(IF(TMD!K11="","",TMD!K11),"")</f>
        <v>-</v>
      </c>
      <c r="G233" s="50" t="str">
        <f>IFERROR(IF(TMD!A11="","",TMD!L11&amp;" / "&amp;TMD!M11),"")</f>
        <v>ทั้งประเทศ / -</v>
      </c>
      <c r="H233" s="50" t="str">
        <f>IFERROR(IF(TMD!A11="","",TMD!N11&amp;" / "&amp;TMD!O11),"")</f>
        <v>GIS (Shapefile / GeoJSON) / -</v>
      </c>
      <c r="I233" s="51" t="str">
        <f>IFERROR(IF(TMD!P11="","",HYPERLINK(TMD!P11,IF(LEN(TMD!P11)&gt;45,LEFT(TMD!P11,42)&amp;"...",TMD!P11))),"")</f>
        <v>https://www.tmd.go.th/storms</v>
      </c>
    </row>
    <row r="234" spans="1:9" ht="72" x14ac:dyDescent="0.25">
      <c r="A234" s="49" t="str">
        <f>IFERROR(IF(TMD!A12="","",TMD!A12),"")</f>
        <v>TMD_6_1</v>
      </c>
      <c r="B234" s="50" t="str">
        <f>IFERROR(IF(TMD!B12="","",TMD!B12),"")</f>
        <v>TXx - อุณหภูมิสูงสุดของอุณหภูมิสูงสุดรายวัน (Max Tmax)</v>
      </c>
      <c r="C234" s="50" t="str">
        <f>IFERROR(IF(TMD!A12="","",TMD!C12&amp;CHAR(10)&amp;TMD!D12&amp;CHAR(10)&amp;TMD!E12),"")</f>
        <v>Forward-looking
Climate Driver
CLIMATE_DRIVER</v>
      </c>
      <c r="D234" s="50" t="str">
        <f>IFERROR(IF(TMD!F12="","",TMD!F12),"")</f>
        <v>Heat (คลื่นความร้อน)</v>
      </c>
      <c r="E234" s="50" t="str">
        <f>IFERROR(IF(TMD!I12="","",TMD!I12),"")</f>
        <v>-</v>
      </c>
      <c r="F234" s="50" t="str">
        <f>IFERROR(IF(TMD!K12="","",TMD!K12),"")</f>
        <v>Annual</v>
      </c>
      <c r="G234" s="50" t="str">
        <f>IFERROR(IF(TMD!A12="","",TMD!L12&amp;" / "&amp;TMD!M12),"")</f>
        <v>National / Unknown</v>
      </c>
      <c r="H234" s="50" t="str">
        <f>IFERROR(IF(TMD!A12="","",TMD!N12&amp;" / "&amp;TMD!O12),"")</f>
        <v>Unknown / Restricted</v>
      </c>
      <c r="I234" s="51" t="str">
        <f>IFERROR(IF(TMD!P12="","",HYPERLINK(TMD!P12,IF(LEN(TMD!P12)&gt;45,LEFT(TMD!P12,42)&amp;"...",TMD!P12))),"")</f>
        <v>-</v>
      </c>
    </row>
    <row r="235" spans="1:9" ht="72" x14ac:dyDescent="0.25">
      <c r="A235" s="49" t="str">
        <f>IFERROR(IF(TMD!A13="","",TMD!A13),"")</f>
        <v>TMD_6_2</v>
      </c>
      <c r="B235" s="50" t="str">
        <f>IFERROR(IF(TMD!B13="","",TMD!B13),"")</f>
        <v>TNx - อุณหภูมิสูงสุดของอุณหภูมิต่ำสุดรายวัน (Max Tmin)</v>
      </c>
      <c r="C235" s="50" t="str">
        <f>IFERROR(IF(TMD!A13="","",TMD!C13&amp;CHAR(10)&amp;TMD!D13&amp;CHAR(10)&amp;TMD!E13),"")</f>
        <v>Forward-looking
Climate Driver
CLIMATE_DRIVER</v>
      </c>
      <c r="D235" s="50" t="str">
        <f>IFERROR(IF(TMD!F13="","",TMD!F13),"")</f>
        <v>Heat (คลื่นความร้อน)</v>
      </c>
      <c r="E235" s="50" t="str">
        <f>IFERROR(IF(TMD!I13="","",TMD!I13),"")</f>
        <v>-</v>
      </c>
      <c r="F235" s="50" t="str">
        <f>IFERROR(IF(TMD!K13="","",TMD!K13),"")</f>
        <v>Annual</v>
      </c>
      <c r="G235" s="50" t="str">
        <f>IFERROR(IF(TMD!A13="","",TMD!L13&amp;" / "&amp;TMD!M13),"")</f>
        <v>National / Unknown</v>
      </c>
      <c r="H235" s="50" t="str">
        <f>IFERROR(IF(TMD!A13="","",TMD!N13&amp;" / "&amp;TMD!O13),"")</f>
        <v>Unknown / Restricted</v>
      </c>
      <c r="I235" s="51" t="str">
        <f>IFERROR(IF(TMD!P13="","",HYPERLINK(TMD!P13,IF(LEN(TMD!P13)&gt;45,LEFT(TMD!P13,42)&amp;"...",TMD!P13))),"")</f>
        <v>-</v>
      </c>
    </row>
    <row r="236" spans="1:9" ht="72" x14ac:dyDescent="0.25">
      <c r="A236" s="49" t="str">
        <f>IFERROR(IF(TMD!A14="","",TMD!A14),"")</f>
        <v>TMD_6_3</v>
      </c>
      <c r="B236" s="50" t="str">
        <f>IFERROR(IF(TMD!B14="","",TMD!B14),"")</f>
        <v>GSL - ความยาวของฤดูกาลเพาะปลูก (Growing Season Length)</v>
      </c>
      <c r="C236" s="50" t="str">
        <f>IFERROR(IF(TMD!A14="","",TMD!C14&amp;CHAR(10)&amp;TMD!D14&amp;CHAR(10)&amp;TMD!E14),"")</f>
        <v>Forward-looking
Climate Driver
CLIMATE_DRIVER</v>
      </c>
      <c r="D236" s="50" t="str">
        <f>IFERROR(IF(TMD!F14="","",TMD!F14),"")</f>
        <v>Heat (คลื่นความร้อน)</v>
      </c>
      <c r="E236" s="50" t="str">
        <f>IFERROR(IF(TMD!I14="","",TMD!I14),"")</f>
        <v>-</v>
      </c>
      <c r="F236" s="50" t="str">
        <f>IFERROR(IF(TMD!K14="","",TMD!K14),"")</f>
        <v>Annual</v>
      </c>
      <c r="G236" s="50" t="str">
        <f>IFERROR(IF(TMD!A14="","",TMD!L14&amp;" / "&amp;TMD!M14),"")</f>
        <v>National / Unknown</v>
      </c>
      <c r="H236" s="50" t="str">
        <f>IFERROR(IF(TMD!A14="","",TMD!N14&amp;" / "&amp;TMD!O14),"")</f>
        <v>Unknown / Restricted</v>
      </c>
      <c r="I236" s="51" t="str">
        <f>IFERROR(IF(TMD!P14="","",HYPERLINK(TMD!P14,IF(LEN(TMD!P14)&gt;45,LEFT(TMD!P14,42)&amp;"...",TMD!P14))),"")</f>
        <v>-</v>
      </c>
    </row>
    <row r="237" spans="1:9" ht="72" x14ac:dyDescent="0.25">
      <c r="A237" s="49" t="str">
        <f>IFERROR(IF(TMD!A15="","",TMD!A15),"")</f>
        <v>TMD_6_4</v>
      </c>
      <c r="B237" s="50" t="str">
        <f>IFERROR(IF(TMD!B15="","",TMD!B15),"")</f>
        <v>WSDI - ดัชนีระยะเวลาคลื่นความร้อน (Warm Spell Duration Indicator)</v>
      </c>
      <c r="C237" s="50" t="str">
        <f>IFERROR(IF(TMD!A15="","",TMD!C15&amp;CHAR(10)&amp;TMD!D15&amp;CHAR(10)&amp;TMD!E15),"")</f>
        <v>Forward-looking
Climate Driver
CLIMATE_DRIVER</v>
      </c>
      <c r="D237" s="50" t="str">
        <f>IFERROR(IF(TMD!F15="","",TMD!F15),"")</f>
        <v>Heat (คลื่นความร้อน)</v>
      </c>
      <c r="E237" s="50" t="str">
        <f>IFERROR(IF(TMD!I15="","",TMD!I15),"")</f>
        <v>-</v>
      </c>
      <c r="F237" s="50" t="str">
        <f>IFERROR(IF(TMD!K15="","",TMD!K15),"")</f>
        <v>Annual</v>
      </c>
      <c r="G237" s="50" t="str">
        <f>IFERROR(IF(TMD!A15="","",TMD!L15&amp;" / "&amp;TMD!M15),"")</f>
        <v>National / Unknown</v>
      </c>
      <c r="H237" s="50" t="str">
        <f>IFERROR(IF(TMD!A15="","",TMD!N15&amp;" / "&amp;TMD!O15),"")</f>
        <v>Unknown / Restricted</v>
      </c>
      <c r="I237" s="51" t="str">
        <f>IFERROR(IF(TMD!P15="","",HYPERLINK(TMD!P15,IF(LEN(TMD!P15)&gt;45,LEFT(TMD!P15,42)&amp;"...",TMD!P15))),"")</f>
        <v>-</v>
      </c>
    </row>
    <row r="238" spans="1:9" ht="72" x14ac:dyDescent="0.25">
      <c r="A238" s="49" t="str">
        <f>IFERROR(IF(TMD!A16="","",TMD!A16),"")</f>
        <v>TMD_6_5</v>
      </c>
      <c r="B238" s="50" t="str">
        <f>IFERROR(IF(TMD!B16="","",TMD!B16),"")</f>
        <v>TX90p - วันที่อุณหภูมิอากาศสูงผิดปกติ (Warm Days)</v>
      </c>
      <c r="C238" s="50" t="str">
        <f>IFERROR(IF(TMD!A16="","",TMD!C16&amp;CHAR(10)&amp;TMD!D16&amp;CHAR(10)&amp;TMD!E16),"")</f>
        <v>Forward-looking
Climate Driver
CLIMATE_DRIVER</v>
      </c>
      <c r="D238" s="50" t="str">
        <f>IFERROR(IF(TMD!F16="","",TMD!F16),"")</f>
        <v>Heat (คลื่นความร้อน)</v>
      </c>
      <c r="E238" s="50" t="str">
        <f>IFERROR(IF(TMD!I16="","",TMD!I16),"")</f>
        <v>-</v>
      </c>
      <c r="F238" s="50" t="str">
        <f>IFERROR(IF(TMD!K16="","",TMD!K16),"")</f>
        <v>Annual</v>
      </c>
      <c r="G238" s="50" t="str">
        <f>IFERROR(IF(TMD!A16="","",TMD!L16&amp;" / "&amp;TMD!M16),"")</f>
        <v>National / Unknown</v>
      </c>
      <c r="H238" s="50" t="str">
        <f>IFERROR(IF(TMD!A16="","",TMD!N16&amp;" / "&amp;TMD!O16),"")</f>
        <v>Unknown / Restricted</v>
      </c>
      <c r="I238" s="51" t="str">
        <f>IFERROR(IF(TMD!P16="","",HYPERLINK(TMD!P16,IF(LEN(TMD!P16)&gt;45,LEFT(TMD!P16,42)&amp;"...",TMD!P16))),"")</f>
        <v>-</v>
      </c>
    </row>
    <row r="239" spans="1:9" ht="72" x14ac:dyDescent="0.25">
      <c r="A239" s="49" t="str">
        <f>IFERROR(IF(TMD!A17="","",TMD!A17),"")</f>
        <v>TMD_6_6</v>
      </c>
      <c r="B239" s="50" t="str">
        <f>IFERROR(IF(TMD!B17="","",TMD!B17),"")</f>
        <v>TN90p - คืนที่อุณหภูมิอากาศสูงผิดปกติ (Warm Nights)</v>
      </c>
      <c r="C239" s="50" t="str">
        <f>IFERROR(IF(TMD!A17="","",TMD!C17&amp;CHAR(10)&amp;TMD!D17&amp;CHAR(10)&amp;TMD!E17),"")</f>
        <v>Forward-looking
Climate Driver
CLIMATE_DRIVER</v>
      </c>
      <c r="D239" s="50" t="str">
        <f>IFERROR(IF(TMD!F17="","",TMD!F17),"")</f>
        <v>Heat (คลื่นความร้อน)</v>
      </c>
      <c r="E239" s="50" t="str">
        <f>IFERROR(IF(TMD!I17="","",TMD!I17),"")</f>
        <v>-</v>
      </c>
      <c r="F239" s="50" t="str">
        <f>IFERROR(IF(TMD!K17="","",TMD!K17),"")</f>
        <v>Annual</v>
      </c>
      <c r="G239" s="50" t="str">
        <f>IFERROR(IF(TMD!A17="","",TMD!L17&amp;" / "&amp;TMD!M17),"")</f>
        <v>National / Unknown</v>
      </c>
      <c r="H239" s="50" t="str">
        <f>IFERROR(IF(TMD!A17="","",TMD!N17&amp;" / "&amp;TMD!O17),"")</f>
        <v>Unknown / Restricted</v>
      </c>
      <c r="I239" s="51" t="str">
        <f>IFERROR(IF(TMD!P17="","",HYPERLINK(TMD!P17,IF(LEN(TMD!P17)&gt;45,LEFT(TMD!P17,42)&amp;"...",TMD!P17))),"")</f>
        <v>-</v>
      </c>
    </row>
    <row r="240" spans="1:9" ht="72" x14ac:dyDescent="0.25">
      <c r="A240" s="49" t="str">
        <f>IFERROR(IF(TMD!A18="","",TMD!A18),"")</f>
        <v>TMD_6_7</v>
      </c>
      <c r="B240" s="50" t="str">
        <f>IFERROR(IF(TMD!B18="","",TMD!B18),"")</f>
        <v>SU35 - วันที่ร้อน (Summer Days, Tmax &gt; 35°C)</v>
      </c>
      <c r="C240" s="50" t="str">
        <f>IFERROR(IF(TMD!A18="","",TMD!C18&amp;CHAR(10)&amp;TMD!D18&amp;CHAR(10)&amp;TMD!E18),"")</f>
        <v>Forward-looking
Climate Driver
CLIMATE_DRIVER</v>
      </c>
      <c r="D240" s="50" t="str">
        <f>IFERROR(IF(TMD!F18="","",TMD!F18),"")</f>
        <v>Heat (คลื่นความร้อน)</v>
      </c>
      <c r="E240" s="50" t="str">
        <f>IFERROR(IF(TMD!I18="","",TMD!I18),"")</f>
        <v>-</v>
      </c>
      <c r="F240" s="50" t="str">
        <f>IFERROR(IF(TMD!K18="","",TMD!K18),"")</f>
        <v>Annual</v>
      </c>
      <c r="G240" s="50" t="str">
        <f>IFERROR(IF(TMD!A18="","",TMD!L18&amp;" / "&amp;TMD!M18),"")</f>
        <v>National / Unknown</v>
      </c>
      <c r="H240" s="50" t="str">
        <f>IFERROR(IF(TMD!A18="","",TMD!N18&amp;" / "&amp;TMD!O18),"")</f>
        <v>Unknown / Restricted</v>
      </c>
      <c r="I240" s="51" t="str">
        <f>IFERROR(IF(TMD!P18="","",HYPERLINK(TMD!P18,IF(LEN(TMD!P18)&gt;45,LEFT(TMD!P18,42)&amp;"...",TMD!P18))),"")</f>
        <v>-</v>
      </c>
    </row>
    <row r="241" spans="1:9" ht="72" x14ac:dyDescent="0.25">
      <c r="A241" s="49" t="str">
        <f>IFERROR(IF(TMD!A19="","",TMD!A19),"")</f>
        <v>TMD_6_8</v>
      </c>
      <c r="B241" s="50" t="str">
        <f>IFERROR(IF(TMD!B19="","",TMD!B19),"")</f>
        <v>TR20 - คืนเขตร้อน (Tropical Nights, Tmin &gt; 20°C)</v>
      </c>
      <c r="C241" s="50" t="str">
        <f>IFERROR(IF(TMD!A19="","",TMD!C19&amp;CHAR(10)&amp;TMD!D19&amp;CHAR(10)&amp;TMD!E19),"")</f>
        <v>Forward-looking
Climate Driver
CLIMATE_DRIVER</v>
      </c>
      <c r="D241" s="50" t="str">
        <f>IFERROR(IF(TMD!F19="","",TMD!F19),"")</f>
        <v>Heat (คลื่นความร้อน)</v>
      </c>
      <c r="E241" s="50" t="str">
        <f>IFERROR(IF(TMD!I19="","",TMD!I19),"")</f>
        <v>-</v>
      </c>
      <c r="F241" s="50" t="str">
        <f>IFERROR(IF(TMD!K19="","",TMD!K19),"")</f>
        <v>Annual</v>
      </c>
      <c r="G241" s="50" t="str">
        <f>IFERROR(IF(TMD!A19="","",TMD!L19&amp;" / "&amp;TMD!M19),"")</f>
        <v>National / Unknown</v>
      </c>
      <c r="H241" s="50" t="str">
        <f>IFERROR(IF(TMD!A19="","",TMD!N19&amp;" / "&amp;TMD!O19),"")</f>
        <v>Unknown / Restricted</v>
      </c>
      <c r="I241" s="51" t="str">
        <f>IFERROR(IF(TMD!P19="","",HYPERLINK(TMD!P19,IF(LEN(TMD!P19)&gt;45,LEFT(TMD!P19,42)&amp;"...",TMD!P19))),"")</f>
        <v>-</v>
      </c>
    </row>
    <row r="242" spans="1:9" ht="72" x14ac:dyDescent="0.25">
      <c r="A242" s="49" t="str">
        <f>IFERROR(IF(TMD!A20="","",TMD!A20),"")</f>
        <v>TMD_6_9</v>
      </c>
      <c r="B242" s="50" t="str">
        <f>IFERROR(IF(TMD!B20="","",TMD!B20),"")</f>
        <v>Rx1day - ปริมาณฝนสูงสุดใน 1 วัน (Max 1-day Precipitation)</v>
      </c>
      <c r="C242" s="50" t="str">
        <f>IFERROR(IF(TMD!A20="","",TMD!C20&amp;CHAR(10)&amp;TMD!D20&amp;CHAR(10)&amp;TMD!E20),"")</f>
        <v>Forward-looking
Climate Driver
CLIMATE_DRIVER</v>
      </c>
      <c r="D242" s="50" t="str">
        <f>IFERROR(IF(TMD!F20="","",TMD!F20),"")</f>
        <v>Flood (อุทกภัย)</v>
      </c>
      <c r="E242" s="50" t="str">
        <f>IFERROR(IF(TMD!I20="","",TMD!I20),"")</f>
        <v>-</v>
      </c>
      <c r="F242" s="50" t="str">
        <f>IFERROR(IF(TMD!K20="","",TMD!K20),"")</f>
        <v>Annual</v>
      </c>
      <c r="G242" s="50" t="str">
        <f>IFERROR(IF(TMD!A20="","",TMD!L20&amp;" / "&amp;TMD!M20),"")</f>
        <v>National / Unknown</v>
      </c>
      <c r="H242" s="50" t="str">
        <f>IFERROR(IF(TMD!A20="","",TMD!N20&amp;" / "&amp;TMD!O20),"")</f>
        <v>Unknown / Restricted</v>
      </c>
      <c r="I242" s="51" t="str">
        <f>IFERROR(IF(TMD!P20="","",HYPERLINK(TMD!P20,IF(LEN(TMD!P20)&gt;45,LEFT(TMD!P20,42)&amp;"...",TMD!P20))),"")</f>
        <v>-</v>
      </c>
    </row>
    <row r="243" spans="1:9" ht="72" x14ac:dyDescent="0.25">
      <c r="A243" s="49" t="str">
        <f>IFERROR(IF(TMD!A21="","",TMD!A21),"")</f>
        <v>TMD_6_10</v>
      </c>
      <c r="B243" s="50" t="str">
        <f>IFERROR(IF(TMD!B21="","",TMD!B21),"")</f>
        <v>Rx5day - ปริมาณฝนสูงสุดใน 5 วัน (Max 5-day Precipitation)</v>
      </c>
      <c r="C243" s="50" t="str">
        <f>IFERROR(IF(TMD!A21="","",TMD!C21&amp;CHAR(10)&amp;TMD!D21&amp;CHAR(10)&amp;TMD!E21),"")</f>
        <v>Forward-looking
Climate Driver
CLIMATE_DRIVER</v>
      </c>
      <c r="D243" s="50" t="str">
        <f>IFERROR(IF(TMD!F21="","",TMD!F21),"")</f>
        <v>Flood (อุทกภัย)</v>
      </c>
      <c r="E243" s="50" t="str">
        <f>IFERROR(IF(TMD!I21="","",TMD!I21),"")</f>
        <v>-</v>
      </c>
      <c r="F243" s="50" t="str">
        <f>IFERROR(IF(TMD!K21="","",TMD!K21),"")</f>
        <v>Annual</v>
      </c>
      <c r="G243" s="50" t="str">
        <f>IFERROR(IF(TMD!A21="","",TMD!L21&amp;" / "&amp;TMD!M21),"")</f>
        <v>National / Unknown</v>
      </c>
      <c r="H243" s="50" t="str">
        <f>IFERROR(IF(TMD!A21="","",TMD!N21&amp;" / "&amp;TMD!O21),"")</f>
        <v>Unknown / Restricted</v>
      </c>
      <c r="I243" s="51" t="str">
        <f>IFERROR(IF(TMD!P21="","",HYPERLINK(TMD!P21,IF(LEN(TMD!P21)&gt;45,LEFT(TMD!P21,42)&amp;"...",TMD!P21))),"")</f>
        <v>-</v>
      </c>
    </row>
    <row r="244" spans="1:9" ht="72" x14ac:dyDescent="0.25">
      <c r="A244" s="49" t="str">
        <f>IFERROR(IF(TMD!A22="","",TMD!A22),"")</f>
        <v>TMD_6_11</v>
      </c>
      <c r="B244" s="50" t="str">
        <f>IFERROR(IF(TMD!B22="","",TMD!B22),"")</f>
        <v>SDII - ดัชนีความเข้มของฝนรายวัน (Simple Daily Intensity Index)</v>
      </c>
      <c r="C244" s="50" t="str">
        <f>IFERROR(IF(TMD!A22="","",TMD!C22&amp;CHAR(10)&amp;TMD!D22&amp;CHAR(10)&amp;TMD!E22),"")</f>
        <v>Forward-looking
Climate Driver
CLIMATE_DRIVER</v>
      </c>
      <c r="D244" s="50" t="str">
        <f>IFERROR(IF(TMD!F22="","",TMD!F22),"")</f>
        <v>Flood (อุทกภัย)</v>
      </c>
      <c r="E244" s="50" t="str">
        <f>IFERROR(IF(TMD!I22="","",TMD!I22),"")</f>
        <v>-</v>
      </c>
      <c r="F244" s="50" t="str">
        <f>IFERROR(IF(TMD!K22="","",TMD!K22),"")</f>
        <v>Annual</v>
      </c>
      <c r="G244" s="50" t="str">
        <f>IFERROR(IF(TMD!A22="","",TMD!L22&amp;" / "&amp;TMD!M22),"")</f>
        <v>National / Unknown</v>
      </c>
      <c r="H244" s="50" t="str">
        <f>IFERROR(IF(TMD!A22="","",TMD!N22&amp;" / "&amp;TMD!O22),"")</f>
        <v>Unknown / Restricted</v>
      </c>
      <c r="I244" s="51" t="str">
        <f>IFERROR(IF(TMD!P22="","",HYPERLINK(TMD!P22,IF(LEN(TMD!P22)&gt;45,LEFT(TMD!P22,42)&amp;"...",TMD!P22))),"")</f>
        <v>-</v>
      </c>
    </row>
    <row r="245" spans="1:9" ht="72" x14ac:dyDescent="0.25">
      <c r="A245" s="49" t="str">
        <f>IFERROR(IF(TMD!A23="","",TMD!A23),"")</f>
        <v>TMD_6_12</v>
      </c>
      <c r="B245" s="50" t="str">
        <f>IFERROR(IF(TMD!B23="","",TMD!B23),"")</f>
        <v>R95p - ปริมาณฝนจากวันฝนหนักมาก (Annual contribution from very wet days)</v>
      </c>
      <c r="C245" s="50" t="str">
        <f>IFERROR(IF(TMD!A23="","",TMD!C23&amp;CHAR(10)&amp;TMD!D23&amp;CHAR(10)&amp;TMD!E23),"")</f>
        <v>Forward-looking
Climate Driver
CLIMATE_DRIVER</v>
      </c>
      <c r="D245" s="50" t="str">
        <f>IFERROR(IF(TMD!F23="","",TMD!F23),"")</f>
        <v>Flood (อุทกภัย)</v>
      </c>
      <c r="E245" s="50" t="str">
        <f>IFERROR(IF(TMD!I23="","",TMD!I23),"")</f>
        <v>-</v>
      </c>
      <c r="F245" s="50" t="str">
        <f>IFERROR(IF(TMD!K23="","",TMD!K23),"")</f>
        <v>Annual</v>
      </c>
      <c r="G245" s="50" t="str">
        <f>IFERROR(IF(TMD!A23="","",TMD!L23&amp;" / "&amp;TMD!M23),"")</f>
        <v>National / Unknown</v>
      </c>
      <c r="H245" s="50" t="str">
        <f>IFERROR(IF(TMD!A23="","",TMD!N23&amp;" / "&amp;TMD!O23),"")</f>
        <v>Unknown / Restricted</v>
      </c>
      <c r="I245" s="51" t="str">
        <f>IFERROR(IF(TMD!P23="","",HYPERLINK(TMD!P23,IF(LEN(TMD!P23)&gt;45,LEFT(TMD!P23,42)&amp;"...",TMD!P23))),"")</f>
        <v>-</v>
      </c>
    </row>
    <row r="246" spans="1:9" ht="96" x14ac:dyDescent="0.25">
      <c r="A246" s="49" t="str">
        <f>IFERROR(IF(TMD!A24="","",TMD!A24),"")</f>
        <v>TMD_6_13</v>
      </c>
      <c r="B246" s="50" t="str">
        <f>IFERROR(IF(TMD!B24="","",TMD!B24),"")</f>
        <v>R99p - ปริมาณฝนจากวันฝนหนักมากที่สุด (Annual contribution from extremely wet days)</v>
      </c>
      <c r="C246" s="50" t="str">
        <f>IFERROR(IF(TMD!A24="","",TMD!C24&amp;CHAR(10)&amp;TMD!D24&amp;CHAR(10)&amp;TMD!E24),"")</f>
        <v>Forward-looking
Climate Driver
CLIMATE_DRIVER</v>
      </c>
      <c r="D246" s="50" t="str">
        <f>IFERROR(IF(TMD!F24="","",TMD!F24),"")</f>
        <v>Flood (อุทกภัย)</v>
      </c>
      <c r="E246" s="50" t="str">
        <f>IFERROR(IF(TMD!I24="","",TMD!I24),"")</f>
        <v>-</v>
      </c>
      <c r="F246" s="50" t="str">
        <f>IFERROR(IF(TMD!K24="","",TMD!K24),"")</f>
        <v>Annual</v>
      </c>
      <c r="G246" s="50" t="str">
        <f>IFERROR(IF(TMD!A24="","",TMD!L24&amp;" / "&amp;TMD!M24),"")</f>
        <v>National / Unknown</v>
      </c>
      <c r="H246" s="50" t="str">
        <f>IFERROR(IF(TMD!A24="","",TMD!N24&amp;" / "&amp;TMD!O24),"")</f>
        <v>Unknown / Restricted</v>
      </c>
      <c r="I246" s="51" t="str">
        <f>IFERROR(IF(TMD!P24="","",HYPERLINK(TMD!P24,IF(LEN(TMD!P24)&gt;45,LEFT(TMD!P24,42)&amp;"...",TMD!P24))),"")</f>
        <v>-</v>
      </c>
    </row>
    <row r="247" spans="1:9" ht="72" x14ac:dyDescent="0.25">
      <c r="A247" s="49" t="str">
        <f>IFERROR(IF(TMD!A25="","",TMD!A25),"")</f>
        <v>TMD_6_14</v>
      </c>
      <c r="B247" s="50" t="str">
        <f>IFERROR(IF(TMD!B25="","",TMD!B25),"")</f>
        <v>PRCPTOT - ปริมาณฝนรวมจากวันฝนตก (Annual contribution from wet days)</v>
      </c>
      <c r="C247" s="50" t="str">
        <f>IFERROR(IF(TMD!A25="","",TMD!C25&amp;CHAR(10)&amp;TMD!D25&amp;CHAR(10)&amp;TMD!E25),"")</f>
        <v>Forward-looking
Climate Driver
CLIMATE_DRIVER</v>
      </c>
      <c r="D247" s="50" t="str">
        <f>IFERROR(IF(TMD!F25="","",TMD!F25),"")</f>
        <v>Flood (อุทกภัย)</v>
      </c>
      <c r="E247" s="50" t="str">
        <f>IFERROR(IF(TMD!I25="","",TMD!I25),"")</f>
        <v>-</v>
      </c>
      <c r="F247" s="50" t="str">
        <f>IFERROR(IF(TMD!K25="","",TMD!K25),"")</f>
        <v>Annual</v>
      </c>
      <c r="G247" s="50" t="str">
        <f>IFERROR(IF(TMD!A25="","",TMD!L25&amp;" / "&amp;TMD!M25),"")</f>
        <v>National / Unknown</v>
      </c>
      <c r="H247" s="50" t="str">
        <f>IFERROR(IF(TMD!A25="","",TMD!N25&amp;" / "&amp;TMD!O25),"")</f>
        <v>Unknown / Restricted</v>
      </c>
      <c r="I247" s="51" t="str">
        <f>IFERROR(IF(TMD!P25="","",HYPERLINK(TMD!P25,IF(LEN(TMD!P25)&gt;45,LEFT(TMD!P25,42)&amp;"...",TMD!P25))),"")</f>
        <v>-</v>
      </c>
    </row>
    <row r="248" spans="1:9" ht="72" x14ac:dyDescent="0.25">
      <c r="A248" s="49" t="str">
        <f>IFERROR(IF(TMD!A26="","",TMD!A26),"")</f>
        <v>TMD_6_15</v>
      </c>
      <c r="B248" s="50" t="str">
        <f>IFERROR(IF(TMD!B26="","",TMD!B26),"")</f>
        <v>CWD - จำนวนวันฝนตกติดต่อกันสูงสุด (Consecutive Wet Days)</v>
      </c>
      <c r="C248" s="50" t="str">
        <f>IFERROR(IF(TMD!A26="","",TMD!C26&amp;CHAR(10)&amp;TMD!D26&amp;CHAR(10)&amp;TMD!E26),"")</f>
        <v>Forward-looking
Climate Driver
CLIMATE_DRIVER</v>
      </c>
      <c r="D248" s="50" t="str">
        <f>IFERROR(IF(TMD!F26="","",TMD!F26),"")</f>
        <v>Flood (อุทกภัย)</v>
      </c>
      <c r="E248" s="50" t="str">
        <f>IFERROR(IF(TMD!I26="","",TMD!I26),"")</f>
        <v>-</v>
      </c>
      <c r="F248" s="50" t="str">
        <f>IFERROR(IF(TMD!K26="","",TMD!K26),"")</f>
        <v>Annual</v>
      </c>
      <c r="G248" s="50" t="str">
        <f>IFERROR(IF(TMD!A26="","",TMD!L26&amp;" / "&amp;TMD!M26),"")</f>
        <v>National / Unknown</v>
      </c>
      <c r="H248" s="50" t="str">
        <f>IFERROR(IF(TMD!A26="","",TMD!N26&amp;" / "&amp;TMD!O26),"")</f>
        <v>Unknown / Restricted</v>
      </c>
      <c r="I248" s="51" t="str">
        <f>IFERROR(IF(TMD!P26="","",HYPERLINK(TMD!P26,IF(LEN(TMD!P26)&gt;45,LEFT(TMD!P26,42)&amp;"...",TMD!P26))),"")</f>
        <v>-</v>
      </c>
    </row>
    <row r="249" spans="1:9" ht="72" x14ac:dyDescent="0.25">
      <c r="A249" s="49" t="str">
        <f>IFERROR(IF(TMD!A27="","",TMD!A27),"")</f>
        <v>TMD_6_16</v>
      </c>
      <c r="B249" s="50" t="str">
        <f>IFERROR(IF(TMD!B27="","",TMD!B27),"")</f>
        <v>CDD - จำนวนวันแห้งติดต่อกันสูงสุด (Consecutive Dry Days)</v>
      </c>
      <c r="C249" s="50" t="str">
        <f>IFERROR(IF(TMD!A27="","",TMD!C27&amp;CHAR(10)&amp;TMD!D27&amp;CHAR(10)&amp;TMD!E27),"")</f>
        <v>Forward-looking
Climate Driver
CLIMATE_DRIVER</v>
      </c>
      <c r="D249" s="50" t="str">
        <f>IFERROR(IF(TMD!F27="","",TMD!F27),"")</f>
        <v>Drought (ภัยแล้ง)</v>
      </c>
      <c r="E249" s="50" t="str">
        <f>IFERROR(IF(TMD!I27="","",TMD!I27),"")</f>
        <v>-</v>
      </c>
      <c r="F249" s="50" t="str">
        <f>IFERROR(IF(TMD!K27="","",TMD!K27),"")</f>
        <v>Annual</v>
      </c>
      <c r="G249" s="50" t="str">
        <f>IFERROR(IF(TMD!A27="","",TMD!L27&amp;" / "&amp;TMD!M27),"")</f>
        <v>National / Unknown</v>
      </c>
      <c r="H249" s="50" t="str">
        <f>IFERROR(IF(TMD!A27="","",TMD!N27&amp;" / "&amp;TMD!O27),"")</f>
        <v>Unknown / Restricted</v>
      </c>
      <c r="I249" s="51" t="str">
        <f>IFERROR(IF(TMD!P27="","",HYPERLINK(TMD!P27,IF(LEN(TMD!P27)&gt;45,LEFT(TMD!P27,42)&amp;"...",TMD!P27))),"")</f>
        <v>-</v>
      </c>
    </row>
    <row r="250" spans="1:9" ht="72" x14ac:dyDescent="0.25">
      <c r="A250" s="49" t="str">
        <f>IFERROR(IF(TMD!A28="","",TMD!A28),"")</f>
        <v>TMD_6_17</v>
      </c>
      <c r="B250" s="50" t="str">
        <f>IFERROR(IF(TMD!B28="","",TMD!B28),"")</f>
        <v>R10mm - วันที่มีฝนตกหนัก (Heavy Precipitation Days, ≥ 10 mm)</v>
      </c>
      <c r="C250" s="50" t="str">
        <f>IFERROR(IF(TMD!A28="","",TMD!C28&amp;CHAR(10)&amp;TMD!D28&amp;CHAR(10)&amp;TMD!E28),"")</f>
        <v>Forward-looking
Climate Driver
CLIMATE_DRIVER</v>
      </c>
      <c r="D250" s="50" t="str">
        <f>IFERROR(IF(TMD!F28="","",TMD!F28),"")</f>
        <v>Flood (อุทกภัย)</v>
      </c>
      <c r="E250" s="50" t="str">
        <f>IFERROR(IF(TMD!I28="","",TMD!I28),"")</f>
        <v>-</v>
      </c>
      <c r="F250" s="50" t="str">
        <f>IFERROR(IF(TMD!K28="","",TMD!K28),"")</f>
        <v>Annual</v>
      </c>
      <c r="G250" s="50" t="str">
        <f>IFERROR(IF(TMD!A28="","",TMD!L28&amp;" / "&amp;TMD!M28),"")</f>
        <v>National / Unknown</v>
      </c>
      <c r="H250" s="50" t="str">
        <f>IFERROR(IF(TMD!A28="","",TMD!N28&amp;" / "&amp;TMD!O28),"")</f>
        <v>Unknown / Restricted</v>
      </c>
      <c r="I250" s="51" t="str">
        <f>IFERROR(IF(TMD!P28="","",HYPERLINK(TMD!P28,IF(LEN(TMD!P28)&gt;45,LEFT(TMD!P28,42)&amp;"...",TMD!P28))),"")</f>
        <v>-</v>
      </c>
    </row>
    <row r="251" spans="1:9" ht="72" x14ac:dyDescent="0.25">
      <c r="A251" s="49" t="str">
        <f>IFERROR(IF(TMD!A29="","",TMD!A29),"")</f>
        <v>TMD_6_18</v>
      </c>
      <c r="B251" s="50" t="str">
        <f>IFERROR(IF(TMD!B29="","",TMD!B29),"")</f>
        <v>R20mm - วันที่มีฝนตกหนักมาก (Very Heavy Precipitation Days, ≥ 20 mm)</v>
      </c>
      <c r="C251" s="50" t="str">
        <f>IFERROR(IF(TMD!A29="","",TMD!C29&amp;CHAR(10)&amp;TMD!D29&amp;CHAR(10)&amp;TMD!E29),"")</f>
        <v>Forward-looking
Climate Driver
CLIMATE_DRIVER</v>
      </c>
      <c r="D251" s="50" t="str">
        <f>IFERROR(IF(TMD!F29="","",TMD!F29),"")</f>
        <v>Flood (อุทกภัย)</v>
      </c>
      <c r="E251" s="50" t="str">
        <f>IFERROR(IF(TMD!I29="","",TMD!I29),"")</f>
        <v>-</v>
      </c>
      <c r="F251" s="50" t="str">
        <f>IFERROR(IF(TMD!K29="","",TMD!K29),"")</f>
        <v>Annual</v>
      </c>
      <c r="G251" s="50" t="str">
        <f>IFERROR(IF(TMD!A29="","",TMD!L29&amp;" / "&amp;TMD!M29),"")</f>
        <v>National / Unknown</v>
      </c>
      <c r="H251" s="50" t="str">
        <f>IFERROR(IF(TMD!A29="","",TMD!N29&amp;" / "&amp;TMD!O29),"")</f>
        <v>Unknown / Restricted</v>
      </c>
      <c r="I251" s="51" t="str">
        <f>IFERROR(IF(TMD!P29="","",HYPERLINK(TMD!P29,IF(LEN(TMD!P29)&gt;45,LEFT(TMD!P29,42)&amp;"...",TMD!P29))),"")</f>
        <v>-</v>
      </c>
    </row>
    <row r="252" spans="1:9" ht="72" x14ac:dyDescent="0.25">
      <c r="A252" s="49" t="str">
        <f>IFERROR(IF(TMD!A30="","",TMD!A30),"")</f>
        <v>TMD_6_19</v>
      </c>
      <c r="B252" s="50" t="str">
        <f>IFERROR(IF(TMD!B30="","",TMD!B30),"")</f>
        <v>SPI-1 - ดัชนีฝนมาตรฐาน 1 เดือน (Standardized Precipitation Index-1)</v>
      </c>
      <c r="C252" s="50" t="str">
        <f>IFERROR(IF(TMD!A30="","",TMD!C30&amp;CHAR(10)&amp;TMD!D30&amp;CHAR(10)&amp;TMD!E30),"")</f>
        <v>Forward-looking
Climate Driver
CLIMATE_DRIVER</v>
      </c>
      <c r="D252" s="50" t="str">
        <f>IFERROR(IF(TMD!F30="","",TMD!F30),"")</f>
        <v>Flood (อุทกภัย); Drought (ภัยแล้ง)</v>
      </c>
      <c r="E252" s="50" t="str">
        <f>IFERROR(IF(TMD!I30="","",TMD!I30),"")</f>
        <v>-</v>
      </c>
      <c r="F252" s="50" t="str">
        <f>IFERROR(IF(TMD!K30="","",TMD!K30),"")</f>
        <v>Monthly</v>
      </c>
      <c r="G252" s="50" t="str">
        <f>IFERROR(IF(TMD!A30="","",TMD!L30&amp;" / "&amp;TMD!M30),"")</f>
        <v>National / Unknown</v>
      </c>
      <c r="H252" s="50" t="str">
        <f>IFERROR(IF(TMD!A30="","",TMD!N30&amp;" / "&amp;TMD!O30),"")</f>
        <v>Unknown / Restricted</v>
      </c>
      <c r="I252" s="51" t="str">
        <f>IFERROR(IF(TMD!P30="","",HYPERLINK(TMD!P30,IF(LEN(TMD!P30)&gt;45,LEFT(TMD!P30,42)&amp;"...",TMD!P30))),"")</f>
        <v>-</v>
      </c>
    </row>
    <row r="253" spans="1:9" ht="72" x14ac:dyDescent="0.25">
      <c r="A253" s="49" t="str">
        <f>IFERROR(IF(TMD!A31="","",TMD!A31),"")</f>
        <v>TMD_6_20</v>
      </c>
      <c r="B253" s="50" t="str">
        <f>IFERROR(IF(TMD!B31="","",TMD!B31),"")</f>
        <v>CSPI-1 - จำนวนเดือนติดต่อกันของ SPI-1 สุดขั้ว (Consecutive SPI-1)</v>
      </c>
      <c r="C253" s="50" t="str">
        <f>IFERROR(IF(TMD!A31="","",TMD!C31&amp;CHAR(10)&amp;TMD!D31&amp;CHAR(10)&amp;TMD!E31),"")</f>
        <v>Forward-looking
Climate Driver
CLIMATE_DRIVER</v>
      </c>
      <c r="D253" s="50" t="str">
        <f>IFERROR(IF(TMD!F31="","",TMD!F31),"")</f>
        <v>Flood (อุทกภัย); Drought (ภัยแล้ง)</v>
      </c>
      <c r="E253" s="50" t="str">
        <f>IFERROR(IF(TMD!I31="","",TMD!I31),"")</f>
        <v>-</v>
      </c>
      <c r="F253" s="50" t="str">
        <f>IFERROR(IF(TMD!K31="","",TMD!K31),"")</f>
        <v>Annual</v>
      </c>
      <c r="G253" s="50" t="str">
        <f>IFERROR(IF(TMD!A31="","",TMD!L31&amp;" / "&amp;TMD!M31),"")</f>
        <v>National / Unknown</v>
      </c>
      <c r="H253" s="50" t="str">
        <f>IFERROR(IF(TMD!A31="","",TMD!N31&amp;" / "&amp;TMD!O31),"")</f>
        <v>Unknown / Restricted</v>
      </c>
      <c r="I253" s="51" t="str">
        <f>IFERROR(IF(TMD!P31="","",HYPERLINK(TMD!P31,IF(LEN(TMD!P31)&gt;45,LEFT(TMD!P31,42)&amp;"...",TMD!P31))),"")</f>
        <v>-</v>
      </c>
    </row>
    <row r="254" spans="1:9" ht="72" x14ac:dyDescent="0.25">
      <c r="A254" s="49" t="str">
        <f>IFERROR(IF(TMD!A32="","",TMD!A32),"")</f>
        <v>TMD_6_21</v>
      </c>
      <c r="B254" s="50" t="str">
        <f>IFERROR(IF(TMD!B32="","",TMD!B32),"")</f>
        <v>FSPI-1 - ความถี่ของ SPI-1 (Frequency SPI-1)</v>
      </c>
      <c r="C254" s="50" t="str">
        <f>IFERROR(IF(TMD!A32="","",TMD!C32&amp;CHAR(10)&amp;TMD!D32&amp;CHAR(10)&amp;TMD!E32),"")</f>
        <v>Forward-looking
Climate Driver
CLIMATE_DRIVER</v>
      </c>
      <c r="D254" s="50" t="str">
        <f>IFERROR(IF(TMD!F32="","",TMD!F32),"")</f>
        <v>Flood (อุทกภัย); Drought (ภัยแล้ง)</v>
      </c>
      <c r="E254" s="50" t="str">
        <f>IFERROR(IF(TMD!I32="","",TMD!I32),"")</f>
        <v>-</v>
      </c>
      <c r="F254" s="50" t="str">
        <f>IFERROR(IF(TMD!K32="","",TMD!K32),"")</f>
        <v>Annual</v>
      </c>
      <c r="G254" s="50" t="str">
        <f>IFERROR(IF(TMD!A32="","",TMD!L32&amp;" / "&amp;TMD!M32),"")</f>
        <v>National / Unknown</v>
      </c>
      <c r="H254" s="50" t="str">
        <f>IFERROR(IF(TMD!A32="","",TMD!N32&amp;" / "&amp;TMD!O32),"")</f>
        <v>Unknown / Restricted</v>
      </c>
      <c r="I254" s="51" t="str">
        <f>IFERROR(IF(TMD!P32="","",HYPERLINK(TMD!P32,IF(LEN(TMD!P32)&gt;45,LEFT(TMD!P32,42)&amp;"...",TMD!P32))),"")</f>
        <v>-</v>
      </c>
    </row>
    <row r="255" spans="1:9" ht="72" x14ac:dyDescent="0.25">
      <c r="A255" s="49" t="str">
        <f>IFERROR(IF(TMD!A33="","",TMD!A33),"")</f>
        <v>TMD_6_22</v>
      </c>
      <c r="B255" s="50" t="str">
        <f>IFERROR(IF(TMD!B33="","",TMD!B33),"")</f>
        <v>HI_Heat - ดัชนีภัยอันตรายจากความร้อน (Heat Hazard Index)</v>
      </c>
      <c r="C255" s="50" t="str">
        <f>IFERROR(IF(TMD!A33="","",TMD!C33&amp;CHAR(10)&amp;TMD!D33&amp;CHAR(10)&amp;TMD!E33),"")</f>
        <v>Forward-looking
Composite Index
COMPOSITE_INDEX</v>
      </c>
      <c r="D255" s="50" t="str">
        <f>IFERROR(IF(TMD!F33="","",TMD!F33),"")</f>
        <v>Heat (คลื่นความร้อน)</v>
      </c>
      <c r="E255" s="50" t="str">
        <f>IFERROR(IF(TMD!I33="","",TMD!I33),"")</f>
        <v>-</v>
      </c>
      <c r="F255" s="50" t="str">
        <f>IFERROR(IF(TMD!K33="","",TMD!K33),"")</f>
        <v>Annual</v>
      </c>
      <c r="G255" s="50" t="str">
        <f>IFERROR(IF(TMD!A33="","",TMD!L33&amp;" / "&amp;TMD!M33),"")</f>
        <v>National / Unknown</v>
      </c>
      <c r="H255" s="50" t="str">
        <f>IFERROR(IF(TMD!A33="","",TMD!N33&amp;" / "&amp;TMD!O33),"")</f>
        <v>Unknown / Restricted</v>
      </c>
      <c r="I255" s="51" t="str">
        <f>IFERROR(IF(TMD!P33="","",HYPERLINK(TMD!P33,IF(LEN(TMD!P33)&gt;45,LEFT(TMD!P33,42)&amp;"...",TMD!P33))),"")</f>
        <v>-</v>
      </c>
    </row>
    <row r="256" spans="1:9" ht="72" x14ac:dyDescent="0.25">
      <c r="A256" s="49" t="str">
        <f>IFERROR(IF(TMD!A34="","",TMD!A34),"")</f>
        <v>TMD_6_23</v>
      </c>
      <c r="B256" s="50" t="str">
        <f>IFERROR(IF(TMD!B34="","",TMD!B34),"")</f>
        <v>HI_Flood - ดัชนีภัยอันตรายจากน้ำท่วม (Flood Hazard Index)</v>
      </c>
      <c r="C256" s="50" t="str">
        <f>IFERROR(IF(TMD!A34="","",TMD!C34&amp;CHAR(10)&amp;TMD!D34&amp;CHAR(10)&amp;TMD!E34),"")</f>
        <v>Forward-looking
Composite Index
COMPOSITE_INDEX</v>
      </c>
      <c r="D256" s="50" t="str">
        <f>IFERROR(IF(TMD!F34="","",TMD!F34),"")</f>
        <v>Flood (อุทกภัย)</v>
      </c>
      <c r="E256" s="50" t="str">
        <f>IFERROR(IF(TMD!I34="","",TMD!I34),"")</f>
        <v>-</v>
      </c>
      <c r="F256" s="50" t="str">
        <f>IFERROR(IF(TMD!K34="","",TMD!K34),"")</f>
        <v>Annual</v>
      </c>
      <c r="G256" s="50" t="str">
        <f>IFERROR(IF(TMD!A34="","",TMD!L34&amp;" / "&amp;TMD!M34),"")</f>
        <v>National / Unknown</v>
      </c>
      <c r="H256" s="50" t="str">
        <f>IFERROR(IF(TMD!A34="","",TMD!N34&amp;" / "&amp;TMD!O34),"")</f>
        <v>Unknown / Restricted</v>
      </c>
      <c r="I256" s="51" t="str">
        <f>IFERROR(IF(TMD!P34="","",HYPERLINK(TMD!P34,IF(LEN(TMD!P34)&gt;45,LEFT(TMD!P34,42)&amp;"...",TMD!P34))),"")</f>
        <v>-</v>
      </c>
    </row>
    <row r="257" spans="1:9" ht="72" x14ac:dyDescent="0.25">
      <c r="A257" s="49" t="str">
        <f>IFERROR(IF(TMD!A35="","",TMD!A35),"")</f>
        <v>TMD_6_24</v>
      </c>
      <c r="B257" s="50" t="str">
        <f>IFERROR(IF(TMD!B35="","",TMD!B35),"")</f>
        <v>HI_Drought - ดัชนีภัยอันตรายจากภัยแล้ง (Drought Hazard Index)</v>
      </c>
      <c r="C257" s="50" t="str">
        <f>IFERROR(IF(TMD!A35="","",TMD!C35&amp;CHAR(10)&amp;TMD!D35&amp;CHAR(10)&amp;TMD!E35),"")</f>
        <v>Forward-looking
Composite Index
COMPOSITE_INDEX</v>
      </c>
      <c r="D257" s="50" t="str">
        <f>IFERROR(IF(TMD!F35="","",TMD!F35),"")</f>
        <v>Drought (ภัยแล้ง)</v>
      </c>
      <c r="E257" s="50" t="str">
        <f>IFERROR(IF(TMD!I35="","",TMD!I35),"")</f>
        <v>-</v>
      </c>
      <c r="F257" s="50" t="str">
        <f>IFERROR(IF(TMD!K35="","",TMD!K35),"")</f>
        <v>Annual</v>
      </c>
      <c r="G257" s="50" t="str">
        <f>IFERROR(IF(TMD!A35="","",TMD!L35&amp;" / "&amp;TMD!M35),"")</f>
        <v>National / Unknown</v>
      </c>
      <c r="H257" s="50" t="str">
        <f>IFERROR(IF(TMD!A35="","",TMD!N35&amp;" / "&amp;TMD!O35),"")</f>
        <v>Unknown / Restricted</v>
      </c>
      <c r="I257" s="51" t="str">
        <f>IFERROR(IF(TMD!P35="","",HYPERLINK(TMD!P35,IF(LEN(TMD!P35)&gt;45,LEFT(TMD!P35,42)&amp;"...",TMD!P35))),"")</f>
        <v>-</v>
      </c>
    </row>
    <row r="258" spans="1:9" ht="216" x14ac:dyDescent="0.25">
      <c r="A258" s="49" t="str">
        <f>IFERROR(IF(TMD!A36="","",TMD!A36),"")</f>
        <v>TMD_6_25</v>
      </c>
      <c r="B258" s="50" t="str">
        <f>IFERROR(IF(TMD!B36="","",TMD!B36),"")</f>
        <v>จำนวนสถานีตรวจวัดอากาศหรือสถานีวัดน้ำฝน</v>
      </c>
      <c r="C258" s="50" t="str">
        <f>IFERROR(IF(TMD!A36="","",TMD!C36&amp;CHAR(10)&amp;TMD!D36&amp;CHAR(10)&amp;TMD!E36),"")</f>
        <v>Forward-looking
Vulnerability
ADAPTIVE_CAPACITY</v>
      </c>
      <c r="D258" s="50" t="str">
        <f>IFERROR(IF(TMD!F36="","",TMD!F36),"")</f>
        <v>Drought (ภัยแล้ง); Flood (อุทกภัย)</v>
      </c>
      <c r="E258" s="50" t="str">
        <f>IFERROR(IF(TMD!I36="","",TMD!I36),"")</f>
        <v>1960-2014; 2015-2040; 2041-2060; 2061-2080; 2081-2100</v>
      </c>
      <c r="F258" s="50" t="str">
        <f>IFERROR(IF(TMD!K36="","",TMD!K36),"")</f>
        <v>Annual</v>
      </c>
      <c r="G258" s="50" t="str">
        <f>IFERROR(IF(TMD!A36="","",TMD!L36&amp;" / "&amp;TMD!M36),"")</f>
        <v>National / Province</v>
      </c>
      <c r="H258" s="50" t="str">
        <f>IFERROR(IF(TMD!A36="","",TMD!N36&amp;" / "&amp;TMD!O36),"")</f>
        <v>CSV / Restricted</v>
      </c>
      <c r="I258" s="51" t="str">
        <f>IFERROR(IF(TMD!P36="","",HYPERLINK(TMD!P36,IF(LEN(TMD!P36)&gt;45,LEFT(TMD!P36,42)&amp;"...",TMD!P36))),"")</f>
        <v>-</v>
      </c>
    </row>
    <row r="259" spans="1:9" ht="216" x14ac:dyDescent="0.25">
      <c r="A259" s="49" t="str">
        <f>IFERROR(IF(TMD!A37="","",TMD!A37),"")</f>
        <v>TMD_6_26</v>
      </c>
      <c r="B259" s="50" t="str">
        <f>IFERROR(IF(TMD!B37="","",TMD!B37),"")</f>
        <v>ค่าการระเหยน้ำของพืช</v>
      </c>
      <c r="C259" s="50" t="str">
        <f>IFERROR(IF(TMD!A37="","",TMD!C37&amp;CHAR(10)&amp;TMD!D37&amp;CHAR(10)&amp;TMD!E37),"")</f>
        <v>Forward-looking
Vulnerability
SENSITIVITY</v>
      </c>
      <c r="D259" s="50" t="str">
        <f>IFERROR(IF(TMD!F37="","",TMD!F37),"")</f>
        <v>Drought (ภัยแล้ง); Heat (คลื่นความร้อน)</v>
      </c>
      <c r="E259" s="50" t="str">
        <f>IFERROR(IF(TMD!I37="","",TMD!I37),"")</f>
        <v>1960-2014; 2015-2040; 2041-2060; 2061-2080; 2081-2100</v>
      </c>
      <c r="F259" s="50" t="str">
        <f>IFERROR(IF(TMD!K37="","",TMD!K37),"")</f>
        <v>Annual</v>
      </c>
      <c r="G259" s="50" t="str">
        <f>IFERROR(IF(TMD!A37="","",TMD!L37&amp;" / "&amp;TMD!M37),"")</f>
        <v>National / Province</v>
      </c>
      <c r="H259" s="50" t="str">
        <f>IFERROR(IF(TMD!A37="","",TMD!N37&amp;" / "&amp;TMD!O37),"")</f>
        <v>CSV / Restricted</v>
      </c>
      <c r="I259" s="51" t="str">
        <f>IFERROR(IF(TMD!P37="","",HYPERLINK(TMD!P37,IF(LEN(TMD!P37)&gt;45,LEFT(TMD!P37,42)&amp;"...",TMD!P37))),"")</f>
        <v>-</v>
      </c>
    </row>
    <row r="260" spans="1:9" ht="216" x14ac:dyDescent="0.25">
      <c r="A260" s="49" t="str">
        <f>IFERROR(IF(TMD!A38="","",TMD!A38),"")</f>
        <v>TMD_6_27</v>
      </c>
      <c r="B260" s="50" t="str">
        <f>IFERROR(IF(TMD!B38="","",TMD!B38),"")</f>
        <v>จำนวนสถานีตรวจวัดอากาศอัตโนมัติในพื้นที่ป่าต้นน้ำ</v>
      </c>
      <c r="C260" s="50" t="str">
        <f>IFERROR(IF(TMD!A38="","",TMD!C38&amp;CHAR(10)&amp;TMD!D38&amp;CHAR(10)&amp;TMD!E38),"")</f>
        <v>Forward-looking
Vulnerability
ADAPTIVE_CAPACITY</v>
      </c>
      <c r="D260" s="50" t="str">
        <f>IFERROR(IF(TMD!F38="","",TMD!F38),"")</f>
        <v>Flood (อุทกภัย)</v>
      </c>
      <c r="E260" s="50" t="str">
        <f>IFERROR(IF(TMD!I38="","",TMD!I38),"")</f>
        <v>1960-2014; 2015-2040; 2041-2060; 2061-2080; 2081-2100</v>
      </c>
      <c r="F260" s="50" t="str">
        <f>IFERROR(IF(TMD!K38="","",TMD!K38),"")</f>
        <v>Annual</v>
      </c>
      <c r="G260" s="50" t="str">
        <f>IFERROR(IF(TMD!A38="","",TMD!L38&amp;" / "&amp;TMD!M38),"")</f>
        <v>National / Province</v>
      </c>
      <c r="H260" s="50" t="str">
        <f>IFERROR(IF(TMD!A38="","",TMD!N38&amp;" / "&amp;TMD!O38),"")</f>
        <v>CSV / Restricted</v>
      </c>
      <c r="I260" s="51" t="str">
        <f>IFERROR(IF(TMD!P38="","",HYPERLINK(TMD!P38,IF(LEN(TMD!P38)&gt;45,LEFT(TMD!P38,42)&amp;"...",TMD!P38))),"")</f>
        <v>-</v>
      </c>
    </row>
    <row r="261" spans="1:9" ht="24" x14ac:dyDescent="0.25">
      <c r="A261" s="57" t="s">
        <v>42</v>
      </c>
      <c r="B261" s="57"/>
      <c r="C261" s="57"/>
      <c r="D261" s="57"/>
      <c r="E261" s="57"/>
      <c r="F261" s="57"/>
      <c r="G261" s="57"/>
      <c r="H261" s="57"/>
      <c r="I261" s="57"/>
    </row>
    <row r="262" spans="1:9" ht="120" x14ac:dyDescent="0.25">
      <c r="A262" s="49" t="str">
        <f>IFERROR(IF(UDDC!A2="","",UDDC!A2),"")</f>
        <v>UDDC_1_1</v>
      </c>
      <c r="B262" s="50" t="str">
        <f>IFERROR(IF(UDDC!B2="","",UDDC!B2),"")</f>
        <v>แบบจำลองน้ำท่วมรายละเอียดสูงด้วย DEM 1 เมตร (High-resolution flood inundation model with 1m DEM)</v>
      </c>
      <c r="C262" s="50" t="str">
        <f>IFERROR(IF(UDDC!A2="","",UDDC!C2&amp;CHAR(10)&amp;UDDC!D2&amp;CHAR(10)&amp;UDDC!E2),"")</f>
        <v>Forward-looking
Hazard
HAZARD_MAP</v>
      </c>
      <c r="D262" s="50" t="str">
        <f>IFERROR(IF(UDDC!F2="","",UDDC!F2),"")</f>
        <v>Flood (อุทกภัย)</v>
      </c>
      <c r="E262" s="50" t="str">
        <f>IFERROR(IF(UDDC!I2="","",UDDC!I2),"")</f>
        <v>Unknown</v>
      </c>
      <c r="F262" s="50" t="str">
        <f>IFERROR(IF(UDDC!K2="","",UDDC!K2),"")</f>
        <v>Annual</v>
      </c>
      <c r="G262" s="50" t="str">
        <f>IFERROR(IF(UDDC!A2="","",UDDC!L2&amp;" / "&amp;UDDC!M2),"")</f>
        <v>Sub-national / 1 m (Grid)</v>
      </c>
      <c r="H262" s="50" t="str">
        <f>IFERROR(IF(UDDC!A2="","",UDDC!N2&amp;" / "&amp;UDDC!O2),"")</f>
        <v>GeoTIFF / Raster; Shapefile / Restricted</v>
      </c>
      <c r="I262" s="51" t="str">
        <f>IFERROR(IF(UDDC!P2="","",HYPERLINK(UDDC!P2,IF(LEN(UDDC!P2)&gt;45,LEFT(UDDC!P2,42)&amp;"...",UDDC!P2))),"")</f>
        <v>-</v>
      </c>
    </row>
    <row r="263" spans="1:9" ht="96" x14ac:dyDescent="0.25">
      <c r="A263" s="49" t="str">
        <f>IFERROR(IF(UDDC!A3="","",UDDC!A3),"")</f>
        <v>UDDC_1_2</v>
      </c>
      <c r="B263" s="50" t="str">
        <f>IFERROR(IF(UDDC!B3="","",UDDC!B3),"")</f>
        <v>ข้อมูลภูมิประเทศจากภาพถ่ายโดรน DSM/DTM ความละเอียด 20 ซม. (20cm drone-captured DSM/DTM)</v>
      </c>
      <c r="C263" s="50" t="str">
        <f>IFERROR(IF(UDDC!A3="","",UDDC!C3&amp;CHAR(10)&amp;UDDC!D3&amp;CHAR(10)&amp;UDDC!E3),"")</f>
        <v>Spatial Unit
Spatial Unit
TOPOGRAPHY</v>
      </c>
      <c r="D263" s="50" t="str">
        <f>IFERROR(IF(UDDC!F3="","",UDDC!F3),"")</f>
        <v>Flood (อุทกภัย)</v>
      </c>
      <c r="E263" s="50" t="str">
        <f>IFERROR(IF(UDDC!I3="","",UDDC!I3),"")</f>
        <v>Unknown</v>
      </c>
      <c r="F263" s="50" t="str">
        <f>IFERROR(IF(UDDC!K3="","",UDDC!K3),"")</f>
        <v>Event-based</v>
      </c>
      <c r="G263" s="50" t="str">
        <f>IFERROR(IF(UDDC!A3="","",UDDC!L3&amp;" / "&amp;UDDC!M3),"")</f>
        <v>Point / 0.2 m (Grid)</v>
      </c>
      <c r="H263" s="50" t="str">
        <f>IFERROR(IF(UDDC!A3="","",UDDC!N3&amp;" / "&amp;UDDC!O3),"")</f>
        <v>GeoTIFF / Raster / Restricted</v>
      </c>
      <c r="I263" s="51" t="str">
        <f>IFERROR(IF(UDDC!P3="","",HYPERLINK(UDDC!P3,IF(LEN(UDDC!P3)&gt;45,LEFT(UDDC!P3,42)&amp;"...",UDDC!P3))),"")</f>
        <v>-</v>
      </c>
    </row>
    <row r="264" spans="1:9" ht="168" x14ac:dyDescent="0.25">
      <c r="A264" s="49" t="str">
        <f>IFERROR(IF(UDDC!A4="","",UDDC!A4),"")</f>
        <v>UDDC_1_3</v>
      </c>
      <c r="B264" s="50" t="str">
        <f>IFERROR(IF(UDDC!B4="","",UDDC!B4),"")</f>
        <v>การประเมินความเปราะบางและความเสี่ยงเชิงพื้นที่ระดับเมือง (Local climate risk/vulnerability assessment)</v>
      </c>
      <c r="C264" s="50" t="str">
        <f>IFERROR(IF(UDDC!A4="","",UDDC!C4&amp;CHAR(10)&amp;UDDC!D4&amp;CHAR(10)&amp;UDDC!E4),"")</f>
        <v>Forward-looking
Vulnerability
VULNERABILITY_FRAMEWORK</v>
      </c>
      <c r="D264" s="50" t="str">
        <f>IFERROR(IF(UDDC!F4="","",UDDC!F4),"")</f>
        <v>Flood (อุทกภัย); Landslide (ดินถล่ม); Sea-level Rise (ระดับน้ำทะเลสูงขึ้น); Drought (ภัยแล้ง)</v>
      </c>
      <c r="E264" s="50" t="str">
        <f>IFERROR(IF(UDDC!I4="","",UDDC!I4),"")</f>
        <v>Unknown</v>
      </c>
      <c r="F264" s="50" t="str">
        <f>IFERROR(IF(UDDC!K4="","",UDDC!K4),"")</f>
        <v>Annual</v>
      </c>
      <c r="G264" s="50" t="str">
        <f>IFERROR(IF(UDDC!A4="","",UDDC!L4&amp;" / "&amp;UDDC!M4),"")</f>
        <v>Sub-national / ระดับเมือง</v>
      </c>
      <c r="H264" s="50" t="str">
        <f>IFERROR(IF(UDDC!A4="","",UDDC!N4&amp;" / "&amp;UDDC!O4),"")</f>
        <v>Shapefile; PDF Report / Restricted</v>
      </c>
      <c r="I264" s="51" t="str">
        <f>IFERROR(IF(UDDC!P4="","",HYPERLINK(UDDC!P4,IF(LEN(UDDC!P4)&gt;45,LEFT(UDDC!P4,42)&amp;"...",UDDC!P4))),"")</f>
        <v>-</v>
      </c>
    </row>
    <row r="265" spans="1:9" ht="120" x14ac:dyDescent="0.25">
      <c r="A265" s="49" t="str">
        <f>IFERROR(IF(UDDC!A5="","",UDDC!A5),"")</f>
        <v>UDDC_1_4</v>
      </c>
      <c r="B265" s="50" t="str">
        <f>IFERROR(IF(UDDC!B5="","",UDDC!B5),"")</f>
        <v>แผนยุทธศาสตร์เชิงพื้นที่และแผนจัดการพื้นที่ชุ่มน้ำท้องถิ่น (Spatial strategic plans &amp; local wetland management plans)</v>
      </c>
      <c r="C265" s="50" t="str">
        <f>IFERROR(IF(UDDC!A5="","",UDDC!C5&amp;CHAR(10)&amp;UDDC!D5&amp;CHAR(10)&amp;UDDC!E5),"")</f>
        <v>Adaptation Planning
Response
RESPONSE</v>
      </c>
      <c r="D265" s="50" t="str">
        <f>IFERROR(IF(UDDC!F5="","",UDDC!F5),"")</f>
        <v>Flood (อุทกภัย); Drought (ภัยแล้ง)</v>
      </c>
      <c r="E265" s="50" t="str">
        <f>IFERROR(IF(UDDC!I5="","",UDDC!I5),"")</f>
        <v>Unknown</v>
      </c>
      <c r="F265" s="50" t="str">
        <f>IFERROR(IF(UDDC!K5="","",UDDC!K5),"")</f>
        <v>Annual</v>
      </c>
      <c r="G265" s="50" t="str">
        <f>IFERROR(IF(UDDC!A5="","",UDDC!L5&amp;" / "&amp;UDDC!M5),"")</f>
        <v>Sub-national / ระดับเมือง/ตำบล</v>
      </c>
      <c r="H265" s="50" t="str">
        <f>IFERROR(IF(UDDC!A5="","",UDDC!N5&amp;" / "&amp;UDDC!O5),"")</f>
        <v>PDF Report; Shapefile / Restricted</v>
      </c>
      <c r="I265" s="51" t="str">
        <f>IFERROR(IF(UDDC!P5="","",HYPERLINK(UDDC!P5,IF(LEN(UDDC!P5)&gt;45,LEFT(UDDC!P5,42)&amp;"...",UDDC!P5))),"")</f>
        <v>-</v>
      </c>
    </row>
    <row r="266" spans="1:9" ht="96" x14ac:dyDescent="0.25">
      <c r="A266" s="49" t="str">
        <f>IFERROR(IF(UDDC!A6="","",UDDC!A6),"")</f>
        <v>UDDC_1_5</v>
      </c>
      <c r="B266" s="50" t="str">
        <f>IFERROR(IF(UDDC!B6="","",UDDC!B6),"")</f>
        <v>ผลแบบจำลอง Urban InVest ประเมินศักยภาพระบบนิเวศเมือง (Urban InVest model outputs)</v>
      </c>
      <c r="C266" s="50" t="str">
        <f>IFERROR(IF(UDDC!A6="","",UDDC!C6&amp;CHAR(10)&amp;UDDC!D6&amp;CHAR(10)&amp;UDDC!E6),"")</f>
        <v>Forward-looking
Composite Index
COMPOSITE_INDEX</v>
      </c>
      <c r="D266" s="50" t="str">
        <f>IFERROR(IF(UDDC!F6="","",UDDC!F6),"")</f>
        <v>Flood (อุทกภัย); Drought (ภัยแล้ง)</v>
      </c>
      <c r="E266" s="50" t="str">
        <f>IFERROR(IF(UDDC!I6="","",UDDC!I6),"")</f>
        <v>Unknown</v>
      </c>
      <c r="F266" s="50" t="str">
        <f>IFERROR(IF(UDDC!K6="","",UDDC!K6),"")</f>
        <v>Annual</v>
      </c>
      <c r="G266" s="50" t="str">
        <f>IFERROR(IF(UDDC!A6="","",UDDC!L6&amp;" / "&amp;UDDC!M6),"")</f>
        <v>Sub-national / ระดับเมือง</v>
      </c>
      <c r="H266" s="50" t="str">
        <f>IFERROR(IF(UDDC!A6="","",UDDC!N6&amp;" / "&amp;UDDC!O6),"")</f>
        <v>GeoTIFF / Raster; Shapefile / Restricted</v>
      </c>
      <c r="I266" s="51" t="str">
        <f>IFERROR(IF(UDDC!P6="","",HYPERLINK(UDDC!P6,IF(LEN(UDDC!P6)&gt;45,LEFT(UDDC!P6,42)&amp;"...",UDDC!P6))),"")</f>
        <v>-</v>
      </c>
    </row>
  </sheetData>
  <mergeCells count="34">
    <mergeCell ref="A57:I57"/>
    <mergeCell ref="A64:I64"/>
    <mergeCell ref="A68:I68"/>
    <mergeCell ref="A73:I73"/>
    <mergeCell ref="A1:I1"/>
    <mergeCell ref="A4:I4"/>
    <mergeCell ref="A12:I12"/>
    <mergeCell ref="A14:I14"/>
    <mergeCell ref="A41:I41"/>
    <mergeCell ref="A77:I77"/>
    <mergeCell ref="A82:I82"/>
    <mergeCell ref="A92:I92"/>
    <mergeCell ref="A102:I102"/>
    <mergeCell ref="A113:I113"/>
    <mergeCell ref="A115:I115"/>
    <mergeCell ref="A119:I119"/>
    <mergeCell ref="A122:I122"/>
    <mergeCell ref="A140:I140"/>
    <mergeCell ref="A144:I144"/>
    <mergeCell ref="A146:I146"/>
    <mergeCell ref="A157:I157"/>
    <mergeCell ref="A159:I159"/>
    <mergeCell ref="A161:I161"/>
    <mergeCell ref="A167:I167"/>
    <mergeCell ref="A169:I169"/>
    <mergeCell ref="A176:I176"/>
    <mergeCell ref="A191:I191"/>
    <mergeCell ref="A206:I206"/>
    <mergeCell ref="A208:I208"/>
    <mergeCell ref="A211:I211"/>
    <mergeCell ref="A215:I215"/>
    <mergeCell ref="A221:I221"/>
    <mergeCell ref="A223:I223"/>
    <mergeCell ref="A261:I261"/>
  </mergeCells>
  <pageMargins left="0.27777777777777801" right="0.27777777777777801" top="0.34722222222222199" bottom="0.34722222222222199" header="0.16666666666666699" footer="0.16666666666666699"/>
  <pageSetup paperSize="9" scale="87" fitToHeight="0" orientation="landscape" horizontalDpi="300" verticalDpi="300" r:id="rId1"/>
  <headerFooter>
    <oddFooter>&amp;L&amp;9 &amp;D&amp;R&amp;9 หน้า &amp;P / &amp;N</oddFooter>
  </headerFooter>
  <rowBreaks count="23" manualBreakCount="23">
    <brk id="171" max="16383" man="1"/>
    <brk id="185" max="16383" man="1"/>
    <brk id="203" max="16383" man="1"/>
    <brk id="217" max="16383" man="1"/>
    <brk id="227" max="16383" man="1"/>
    <brk id="236" max="16383" man="1"/>
    <brk id="246" max="16383" man="1"/>
    <brk id="258" max="16383" man="1"/>
    <brk id="267" max="16383" man="1"/>
    <brk id="276" max="16383" man="1"/>
    <brk id="287" max="16383" man="1"/>
    <brk id="296" max="16383" man="1"/>
    <brk id="305" max="16383" man="1"/>
    <brk id="315" max="16383" man="1"/>
    <brk id="324" max="16383" man="1"/>
    <brk id="333" max="16383" man="1"/>
    <brk id="342" max="16383" man="1"/>
    <brk id="351" max="16383" man="1"/>
    <brk id="360" max="16383" man="1"/>
    <brk id="369" max="16383" man="1"/>
    <brk id="378" max="16383" man="1"/>
    <brk id="387" max="16383" man="1"/>
    <brk id="39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D9D9"/>
  </sheetPr>
  <dimension ref="A1:E72"/>
  <sheetViews>
    <sheetView showGridLines="0" tabSelected="1" topLeftCell="A12" zoomScale="91" zoomScaleNormal="91" workbookViewId="0">
      <selection activeCell="C38" sqref="B14:C38"/>
    </sheetView>
  </sheetViews>
  <sheetFormatPr defaultColWidth="8.7109375" defaultRowHeight="24" x14ac:dyDescent="0.55000000000000004"/>
  <cols>
    <col min="1" max="1" width="3" style="1" customWidth="1"/>
    <col min="2" max="2" width="30" style="1" customWidth="1"/>
    <col min="3" max="3" width="89.85546875" style="1" customWidth="1"/>
    <col min="4" max="4" width="8.7109375" style="1" customWidth="1"/>
    <col min="5" max="16384" width="8.7109375" style="1"/>
  </cols>
  <sheetData>
    <row r="1" spans="1:5" ht="24.75" customHeight="1" x14ac:dyDescent="0.55000000000000004">
      <c r="A1" s="2"/>
      <c r="B1" s="54" t="s">
        <v>43</v>
      </c>
      <c r="C1" s="4"/>
    </row>
    <row r="2" spans="1:5" ht="24.75" customHeight="1" x14ac:dyDescent="0.55000000000000004">
      <c r="A2" s="2"/>
      <c r="B2" s="3" t="s">
        <v>44</v>
      </c>
      <c r="C2" s="53"/>
    </row>
    <row r="3" spans="1:5" ht="21.75" customHeight="1" x14ac:dyDescent="0.55000000000000004">
      <c r="B3" s="5"/>
    </row>
    <row r="4" spans="1:5" ht="24.75" customHeight="1" x14ac:dyDescent="0.55000000000000004">
      <c r="B4" s="6" t="s">
        <v>45</v>
      </c>
    </row>
    <row r="5" spans="1:5" ht="336" customHeight="1" x14ac:dyDescent="0.55000000000000004">
      <c r="B5" s="55" t="s">
        <v>46</v>
      </c>
      <c r="C5" s="56"/>
    </row>
    <row r="6" spans="1:5" x14ac:dyDescent="0.55000000000000004">
      <c r="B6" s="5"/>
    </row>
    <row r="7" spans="1:5" ht="48" customHeight="1" x14ac:dyDescent="0.55000000000000004">
      <c r="B7" s="6" t="s">
        <v>47</v>
      </c>
    </row>
    <row r="8" spans="1:5" x14ac:dyDescent="0.55000000000000004">
      <c r="B8" s="7" t="s">
        <v>48</v>
      </c>
      <c r="C8" s="7" t="s">
        <v>49</v>
      </c>
      <c r="E8" s="8"/>
    </row>
    <row r="9" spans="1:5" x14ac:dyDescent="0.55000000000000004">
      <c r="B9" s="9" t="s">
        <v>50</v>
      </c>
      <c r="C9" s="10" t="s">
        <v>51</v>
      </c>
      <c r="E9" s="11"/>
    </row>
    <row r="10" spans="1:5" x14ac:dyDescent="0.55000000000000004">
      <c r="B10" s="9" t="s">
        <v>52</v>
      </c>
      <c r="C10" s="10" t="s">
        <v>53</v>
      </c>
      <c r="E10" s="11"/>
    </row>
    <row r="11" spans="1:5" x14ac:dyDescent="0.55000000000000004">
      <c r="B11" s="9" t="s">
        <v>54</v>
      </c>
      <c r="C11" s="10" t="s">
        <v>55</v>
      </c>
      <c r="E11" s="11"/>
    </row>
    <row r="12" spans="1:5" x14ac:dyDescent="0.55000000000000004">
      <c r="B12" s="12"/>
    </row>
    <row r="13" spans="1:5" x14ac:dyDescent="0.55000000000000004">
      <c r="B13" s="13" t="s">
        <v>56</v>
      </c>
    </row>
    <row r="14" spans="1:5" ht="24.75" customHeight="1" x14ac:dyDescent="0.55000000000000004">
      <c r="B14" s="14" t="s">
        <v>57</v>
      </c>
      <c r="C14" s="14" t="s">
        <v>49</v>
      </c>
    </row>
    <row r="15" spans="1:5" ht="48" customHeight="1" x14ac:dyDescent="0.55000000000000004">
      <c r="B15" s="15" t="s">
        <v>58</v>
      </c>
      <c r="C15" s="15" t="s">
        <v>59</v>
      </c>
    </row>
    <row r="16" spans="1:5" ht="48" customHeight="1" x14ac:dyDescent="0.55000000000000004">
      <c r="B16" s="15" t="s">
        <v>60</v>
      </c>
      <c r="C16" s="15" t="s">
        <v>61</v>
      </c>
    </row>
    <row r="17" spans="2:3" ht="48" customHeight="1" x14ac:dyDescent="0.55000000000000004">
      <c r="B17" s="15" t="s">
        <v>62</v>
      </c>
      <c r="C17" s="15" t="s">
        <v>63</v>
      </c>
    </row>
    <row r="18" spans="2:3" ht="48" customHeight="1" x14ac:dyDescent="0.55000000000000004">
      <c r="B18" s="15" t="s">
        <v>64</v>
      </c>
      <c r="C18" s="15" t="s">
        <v>65</v>
      </c>
    </row>
    <row r="19" spans="2:3" ht="48" customHeight="1" x14ac:dyDescent="0.55000000000000004">
      <c r="B19" s="15" t="s">
        <v>66</v>
      </c>
      <c r="C19" s="15" t="s">
        <v>67</v>
      </c>
    </row>
    <row r="20" spans="2:3" ht="48" customHeight="1" x14ac:dyDescent="0.55000000000000004">
      <c r="B20" s="15" t="s">
        <v>68</v>
      </c>
      <c r="C20" s="15" t="s">
        <v>69</v>
      </c>
    </row>
    <row r="21" spans="2:3" ht="48" customHeight="1" x14ac:dyDescent="0.55000000000000004">
      <c r="B21" s="15" t="s">
        <v>70</v>
      </c>
      <c r="C21" s="15" t="s">
        <v>71</v>
      </c>
    </row>
    <row r="22" spans="2:3" ht="48" customHeight="1" x14ac:dyDescent="0.55000000000000004">
      <c r="B22" s="15" t="s">
        <v>72</v>
      </c>
      <c r="C22" s="15" t="s">
        <v>73</v>
      </c>
    </row>
    <row r="23" spans="2:3" ht="48" customHeight="1" x14ac:dyDescent="0.55000000000000004">
      <c r="B23" s="15" t="s">
        <v>74</v>
      </c>
      <c r="C23" s="15" t="s">
        <v>75</v>
      </c>
    </row>
    <row r="24" spans="2:3" ht="48" customHeight="1" x14ac:dyDescent="0.55000000000000004">
      <c r="B24" s="15" t="s">
        <v>76</v>
      </c>
      <c r="C24" s="15" t="s">
        <v>77</v>
      </c>
    </row>
    <row r="25" spans="2:3" ht="48" customHeight="1" x14ac:dyDescent="0.55000000000000004">
      <c r="B25" s="15" t="s">
        <v>78</v>
      </c>
      <c r="C25" s="15" t="s">
        <v>79</v>
      </c>
    </row>
    <row r="26" spans="2:3" ht="48" customHeight="1" x14ac:dyDescent="0.55000000000000004">
      <c r="B26" s="15" t="s">
        <v>80</v>
      </c>
      <c r="C26" s="15" t="s">
        <v>81</v>
      </c>
    </row>
    <row r="27" spans="2:3" ht="48" customHeight="1" x14ac:dyDescent="0.55000000000000004">
      <c r="B27" s="15" t="s">
        <v>82</v>
      </c>
      <c r="C27" s="15" t="s">
        <v>83</v>
      </c>
    </row>
    <row r="28" spans="2:3" ht="48" customHeight="1" x14ac:dyDescent="0.55000000000000004">
      <c r="B28" s="15" t="s">
        <v>84</v>
      </c>
      <c r="C28" s="15" t="s">
        <v>85</v>
      </c>
    </row>
    <row r="29" spans="2:3" ht="48" customHeight="1" x14ac:dyDescent="0.55000000000000004">
      <c r="B29" s="15" t="s">
        <v>86</v>
      </c>
      <c r="C29" s="15" t="s">
        <v>87</v>
      </c>
    </row>
    <row r="30" spans="2:3" ht="48" customHeight="1" x14ac:dyDescent="0.55000000000000004">
      <c r="B30" s="15" t="s">
        <v>88</v>
      </c>
      <c r="C30" s="15" t="s">
        <v>89</v>
      </c>
    </row>
    <row r="31" spans="2:3" ht="48" customHeight="1" x14ac:dyDescent="0.55000000000000004">
      <c r="B31" s="15" t="s">
        <v>90</v>
      </c>
      <c r="C31" s="15" t="s">
        <v>91</v>
      </c>
    </row>
    <row r="32" spans="2:3" ht="48" customHeight="1" x14ac:dyDescent="0.55000000000000004">
      <c r="B32" s="15" t="s">
        <v>92</v>
      </c>
      <c r="C32" s="15" t="s">
        <v>93</v>
      </c>
    </row>
    <row r="33" spans="2:3" ht="48" customHeight="1" x14ac:dyDescent="0.55000000000000004">
      <c r="B33" s="15" t="s">
        <v>94</v>
      </c>
      <c r="C33" s="15" t="s">
        <v>95</v>
      </c>
    </row>
    <row r="34" spans="2:3" ht="48" customHeight="1" x14ac:dyDescent="0.55000000000000004">
      <c r="B34" s="15" t="s">
        <v>96</v>
      </c>
      <c r="C34" s="15" t="s">
        <v>97</v>
      </c>
    </row>
    <row r="35" spans="2:3" ht="48" customHeight="1" x14ac:dyDescent="0.55000000000000004">
      <c r="B35" s="15" t="s">
        <v>98</v>
      </c>
      <c r="C35" s="15" t="s">
        <v>99</v>
      </c>
    </row>
    <row r="36" spans="2:3" ht="24.75" customHeight="1" x14ac:dyDescent="0.55000000000000004">
      <c r="B36" s="15" t="s">
        <v>100</v>
      </c>
      <c r="C36" s="15" t="s">
        <v>101</v>
      </c>
    </row>
    <row r="37" spans="2:3" ht="48" customHeight="1" x14ac:dyDescent="0.55000000000000004">
      <c r="B37" s="15" t="s">
        <v>102</v>
      </c>
      <c r="C37" s="15" t="s">
        <v>103</v>
      </c>
    </row>
    <row r="38" spans="2:3" ht="48" customHeight="1" x14ac:dyDescent="0.55000000000000004">
      <c r="B38" s="15" t="s">
        <v>104</v>
      </c>
      <c r="C38" s="15" t="s">
        <v>105</v>
      </c>
    </row>
    <row r="39" spans="2:3" x14ac:dyDescent="0.55000000000000004">
      <c r="B39" s="5"/>
    </row>
    <row r="40" spans="2:3" x14ac:dyDescent="0.55000000000000004">
      <c r="B40" s="13" t="s">
        <v>106</v>
      </c>
    </row>
    <row r="41" spans="2:3" ht="24.75" customHeight="1" x14ac:dyDescent="0.55000000000000004">
      <c r="B41" s="14" t="s">
        <v>49</v>
      </c>
      <c r="C41" s="14" t="s">
        <v>107</v>
      </c>
    </row>
    <row r="42" spans="2:3" ht="408.75" customHeight="1" x14ac:dyDescent="0.55000000000000004">
      <c r="B42" s="16" t="s">
        <v>108</v>
      </c>
      <c r="C42" s="17" t="s">
        <v>109</v>
      </c>
    </row>
    <row r="43" spans="2:3" ht="20.25" customHeight="1" x14ac:dyDescent="0.55000000000000004">
      <c r="B43" s="5"/>
      <c r="C43" s="18"/>
    </row>
    <row r="44" spans="2:3" x14ac:dyDescent="0.55000000000000004">
      <c r="B44" s="12"/>
    </row>
    <row r="45" spans="2:3" x14ac:dyDescent="0.55000000000000004">
      <c r="B45" s="5"/>
      <c r="C45" s="19"/>
    </row>
    <row r="46" spans="2:3" x14ac:dyDescent="0.55000000000000004">
      <c r="C46" s="19"/>
    </row>
    <row r="47" spans="2:3" x14ac:dyDescent="0.55000000000000004">
      <c r="C47" s="19"/>
    </row>
    <row r="48" spans="2:3" x14ac:dyDescent="0.55000000000000004">
      <c r="C48" s="19"/>
    </row>
    <row r="49" spans="3:3" x14ac:dyDescent="0.55000000000000004">
      <c r="C49" s="19"/>
    </row>
    <row r="50" spans="3:3" x14ac:dyDescent="0.55000000000000004">
      <c r="C50" s="19"/>
    </row>
    <row r="51" spans="3:3" x14ac:dyDescent="0.55000000000000004">
      <c r="C51" s="19"/>
    </row>
    <row r="52" spans="3:3" x14ac:dyDescent="0.55000000000000004">
      <c r="C52" s="19"/>
    </row>
    <row r="53" spans="3:3" x14ac:dyDescent="0.55000000000000004">
      <c r="C53" s="19"/>
    </row>
    <row r="54" spans="3:3" x14ac:dyDescent="0.55000000000000004">
      <c r="C54" s="19"/>
    </row>
    <row r="55" spans="3:3" x14ac:dyDescent="0.55000000000000004">
      <c r="C55" s="19"/>
    </row>
    <row r="56" spans="3:3" x14ac:dyDescent="0.55000000000000004">
      <c r="C56" s="19"/>
    </row>
    <row r="57" spans="3:3" x14ac:dyDescent="0.55000000000000004">
      <c r="C57" s="19"/>
    </row>
    <row r="58" spans="3:3" x14ac:dyDescent="0.55000000000000004">
      <c r="C58" s="19"/>
    </row>
    <row r="59" spans="3:3" x14ac:dyDescent="0.55000000000000004">
      <c r="C59" s="19"/>
    </row>
    <row r="60" spans="3:3" x14ac:dyDescent="0.55000000000000004">
      <c r="C60" s="19"/>
    </row>
    <row r="61" spans="3:3" x14ac:dyDescent="0.55000000000000004">
      <c r="C61" s="19"/>
    </row>
    <row r="62" spans="3:3" x14ac:dyDescent="0.55000000000000004">
      <c r="C62" s="19"/>
    </row>
    <row r="63" spans="3:3" x14ac:dyDescent="0.55000000000000004">
      <c r="C63" s="19"/>
    </row>
    <row r="64" spans="3:3" x14ac:dyDescent="0.55000000000000004">
      <c r="C64" s="19"/>
    </row>
    <row r="65" spans="3:3" x14ac:dyDescent="0.55000000000000004">
      <c r="C65" s="19"/>
    </row>
    <row r="66" spans="3:3" x14ac:dyDescent="0.55000000000000004">
      <c r="C66" s="19"/>
    </row>
    <row r="67" spans="3:3" x14ac:dyDescent="0.55000000000000004">
      <c r="C67" s="19"/>
    </row>
    <row r="68" spans="3:3" x14ac:dyDescent="0.55000000000000004">
      <c r="C68" s="19"/>
    </row>
    <row r="69" spans="3:3" x14ac:dyDescent="0.55000000000000004">
      <c r="C69" s="19"/>
    </row>
    <row r="70" spans="3:3" x14ac:dyDescent="0.55000000000000004">
      <c r="C70" s="19"/>
    </row>
    <row r="71" spans="3:3" x14ac:dyDescent="0.55000000000000004">
      <c r="C71" s="19"/>
    </row>
    <row r="72" spans="3:3" x14ac:dyDescent="0.55000000000000004">
      <c r="C72" s="19"/>
    </row>
  </sheetData>
  <mergeCells count="1">
    <mergeCell ref="B5:C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309D-7439-4171-9DB9-5AF8A1FBB5E8}">
  <dimension ref="A1:H55"/>
  <sheetViews>
    <sheetView zoomScale="125" zoomScaleNormal="125" workbookViewId="0">
      <pane ySplit="1" topLeftCell="A2" activePane="bottomLeft" state="frozen"/>
      <selection pane="bottomLeft" activeCell="D18" sqref="D18"/>
    </sheetView>
  </sheetViews>
  <sheetFormatPr defaultColWidth="8.7109375" defaultRowHeight="61.5" customHeight="1" x14ac:dyDescent="0.55000000000000004"/>
  <cols>
    <col min="1" max="1" width="11.42578125" style="1" customWidth="1"/>
    <col min="2" max="2" width="19.42578125" style="1" customWidth="1"/>
    <col min="3" max="3" width="13" style="1" customWidth="1"/>
    <col min="4" max="4" width="49.85546875" style="1" customWidth="1"/>
    <col min="5" max="5" width="17.140625" style="1" customWidth="1"/>
    <col min="6" max="6" width="15.42578125" style="1" customWidth="1"/>
    <col min="7" max="7" width="37.85546875" style="1" customWidth="1"/>
    <col min="8" max="8" width="25" style="1" customWidth="1"/>
    <col min="9" max="9" width="8.7109375" style="1" customWidth="1"/>
    <col min="10" max="16384" width="8.7109375" style="1"/>
  </cols>
  <sheetData>
    <row r="1" spans="1:8" s="20" customFormat="1" ht="69.75" customHeight="1" x14ac:dyDescent="0.55000000000000004">
      <c r="A1" s="3" t="s">
        <v>110</v>
      </c>
      <c r="B1" s="3" t="s">
        <v>111</v>
      </c>
      <c r="C1" s="3" t="s">
        <v>112</v>
      </c>
      <c r="D1" s="3" t="s">
        <v>113</v>
      </c>
      <c r="E1" s="3" t="s">
        <v>114</v>
      </c>
      <c r="F1" s="3" t="s">
        <v>115</v>
      </c>
      <c r="G1" s="3" t="s">
        <v>9</v>
      </c>
      <c r="H1" s="3" t="s">
        <v>116</v>
      </c>
    </row>
    <row r="2" spans="1:8" ht="24" customHeight="1" x14ac:dyDescent="0.55000000000000004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  <c r="F2" s="21" t="s">
        <v>122</v>
      </c>
      <c r="G2" s="30" t="s">
        <v>123</v>
      </c>
    </row>
    <row r="3" spans="1:8" ht="24" customHeight="1" x14ac:dyDescent="0.55000000000000004">
      <c r="A3" s="11" t="s">
        <v>124</v>
      </c>
      <c r="B3" s="21" t="s">
        <v>125</v>
      </c>
      <c r="C3" s="21" t="s">
        <v>126</v>
      </c>
      <c r="F3" s="21" t="s">
        <v>122</v>
      </c>
      <c r="G3" s="30" t="s">
        <v>123</v>
      </c>
      <c r="H3" s="21" t="s">
        <v>127</v>
      </c>
    </row>
    <row r="4" spans="1:8" ht="24" customHeight="1" x14ac:dyDescent="0.55000000000000004">
      <c r="A4" s="11" t="s">
        <v>128</v>
      </c>
      <c r="B4" s="11" t="s">
        <v>129</v>
      </c>
      <c r="C4" s="11" t="s">
        <v>130</v>
      </c>
      <c r="D4" s="11" t="s">
        <v>131</v>
      </c>
      <c r="E4" s="11" t="s">
        <v>132</v>
      </c>
      <c r="F4" s="11" t="s">
        <v>122</v>
      </c>
      <c r="G4" s="31" t="s">
        <v>123</v>
      </c>
      <c r="H4" s="11"/>
    </row>
    <row r="5" spans="1:8" ht="24" customHeight="1" x14ac:dyDescent="0.55000000000000004">
      <c r="A5" s="11" t="s">
        <v>133</v>
      </c>
      <c r="B5" s="22" t="s">
        <v>129</v>
      </c>
      <c r="C5" s="22" t="s">
        <v>130</v>
      </c>
      <c r="D5" s="1" t="s">
        <v>134</v>
      </c>
      <c r="E5" s="1" t="s">
        <v>135</v>
      </c>
      <c r="F5" s="11" t="s">
        <v>122</v>
      </c>
      <c r="G5" s="32" t="s">
        <v>136</v>
      </c>
      <c r="H5" s="22"/>
    </row>
    <row r="6" spans="1:8" ht="24" customHeight="1" x14ac:dyDescent="0.55000000000000004">
      <c r="A6" s="38" t="s">
        <v>137</v>
      </c>
      <c r="B6" s="22" t="s">
        <v>129</v>
      </c>
      <c r="C6" s="22" t="s">
        <v>130</v>
      </c>
      <c r="D6" s="1" t="s">
        <v>138</v>
      </c>
      <c r="E6" s="1" t="s">
        <v>135</v>
      </c>
      <c r="F6" s="22" t="s">
        <v>139</v>
      </c>
      <c r="G6" s="32" t="s">
        <v>140</v>
      </c>
      <c r="H6" s="22"/>
    </row>
    <row r="7" spans="1:8" ht="24" customHeight="1" x14ac:dyDescent="0.55000000000000004">
      <c r="A7" s="11" t="s">
        <v>141</v>
      </c>
      <c r="B7" s="21" t="s">
        <v>142</v>
      </c>
      <c r="C7" s="21" t="s">
        <v>143</v>
      </c>
      <c r="F7" s="21" t="s">
        <v>122</v>
      </c>
      <c r="G7" s="30" t="s">
        <v>123</v>
      </c>
      <c r="H7" s="21" t="s">
        <v>144</v>
      </c>
    </row>
    <row r="8" spans="1:8" ht="24" customHeight="1" x14ac:dyDescent="0.55000000000000004">
      <c r="A8" s="11" t="s">
        <v>145</v>
      </c>
      <c r="B8" s="21" t="s">
        <v>142</v>
      </c>
      <c r="C8" s="21" t="s">
        <v>143</v>
      </c>
      <c r="D8" s="1" t="s">
        <v>120</v>
      </c>
      <c r="E8" s="1" t="s">
        <v>121</v>
      </c>
      <c r="F8" s="21" t="s">
        <v>122</v>
      </c>
      <c r="G8" s="30" t="s">
        <v>123</v>
      </c>
      <c r="H8" s="21"/>
    </row>
    <row r="9" spans="1:8" ht="24" customHeight="1" x14ac:dyDescent="0.55000000000000004">
      <c r="A9" s="1" t="s">
        <v>146</v>
      </c>
      <c r="B9" s="1" t="s">
        <v>147</v>
      </c>
      <c r="C9" s="1" t="s">
        <v>148</v>
      </c>
      <c r="D9" s="1" t="s">
        <v>120</v>
      </c>
      <c r="E9" s="1" t="s">
        <v>121</v>
      </c>
      <c r="F9" s="21" t="s">
        <v>122</v>
      </c>
      <c r="G9" s="30" t="s">
        <v>123</v>
      </c>
    </row>
    <row r="10" spans="1:8" ht="24" customHeight="1" x14ac:dyDescent="0.55000000000000004">
      <c r="A10" s="1" t="s">
        <v>149</v>
      </c>
      <c r="B10" s="1" t="s">
        <v>150</v>
      </c>
      <c r="C10" s="1" t="s">
        <v>151</v>
      </c>
      <c r="D10" s="1" t="s">
        <v>120</v>
      </c>
      <c r="E10" s="1" t="s">
        <v>121</v>
      </c>
      <c r="F10" s="21" t="s">
        <v>122</v>
      </c>
      <c r="G10" s="30" t="s">
        <v>123</v>
      </c>
    </row>
    <row r="11" spans="1:8" ht="24" customHeight="1" x14ac:dyDescent="0.55000000000000004">
      <c r="A11" s="11" t="s">
        <v>152</v>
      </c>
      <c r="B11" s="1" t="s">
        <v>153</v>
      </c>
      <c r="C11" s="1" t="s">
        <v>154</v>
      </c>
      <c r="D11" s="1" t="s">
        <v>155</v>
      </c>
      <c r="E11" s="1" t="s">
        <v>135</v>
      </c>
      <c r="F11" s="22" t="s">
        <v>139</v>
      </c>
      <c r="G11" s="32" t="s">
        <v>156</v>
      </c>
    </row>
    <row r="12" spans="1:8" ht="24" customHeight="1" x14ac:dyDescent="0.55000000000000004">
      <c r="A12" s="11" t="s">
        <v>157</v>
      </c>
      <c r="B12" s="1" t="s">
        <v>153</v>
      </c>
      <c r="C12" s="1" t="s">
        <v>154</v>
      </c>
      <c r="D12" s="1" t="s">
        <v>158</v>
      </c>
      <c r="E12" s="1" t="s">
        <v>135</v>
      </c>
      <c r="F12" s="22" t="s">
        <v>139</v>
      </c>
      <c r="G12" s="32" t="s">
        <v>159</v>
      </c>
    </row>
    <row r="13" spans="1:8" ht="24" customHeight="1" x14ac:dyDescent="0.55000000000000004">
      <c r="A13" s="11" t="s">
        <v>160</v>
      </c>
      <c r="B13" s="1" t="s">
        <v>153</v>
      </c>
      <c r="C13" s="1" t="s">
        <v>154</v>
      </c>
      <c r="D13" s="1" t="s">
        <v>161</v>
      </c>
      <c r="E13" s="1" t="s">
        <v>135</v>
      </c>
      <c r="F13" s="22" t="s">
        <v>139</v>
      </c>
      <c r="G13" s="32" t="s">
        <v>162</v>
      </c>
    </row>
    <row r="14" spans="1:8" ht="24" customHeight="1" x14ac:dyDescent="0.55000000000000004">
      <c r="A14" s="11" t="s">
        <v>163</v>
      </c>
      <c r="B14" s="21" t="s">
        <v>164</v>
      </c>
      <c r="C14" s="21" t="s">
        <v>165</v>
      </c>
      <c r="F14" s="21" t="s">
        <v>122</v>
      </c>
      <c r="G14" s="30" t="s">
        <v>123</v>
      </c>
      <c r="H14" s="21" t="s">
        <v>166</v>
      </c>
    </row>
    <row r="15" spans="1:8" ht="24" customHeight="1" x14ac:dyDescent="0.55000000000000004">
      <c r="A15" s="11" t="s">
        <v>167</v>
      </c>
      <c r="B15" s="1" t="s">
        <v>164</v>
      </c>
      <c r="C15" s="1" t="s">
        <v>165</v>
      </c>
      <c r="D15" s="1" t="s">
        <v>168</v>
      </c>
      <c r="E15" s="1" t="s">
        <v>135</v>
      </c>
      <c r="F15" s="22" t="s">
        <v>139</v>
      </c>
      <c r="G15" s="32" t="s">
        <v>169</v>
      </c>
    </row>
    <row r="16" spans="1:8" ht="24" customHeight="1" x14ac:dyDescent="0.55000000000000004">
      <c r="A16" s="11" t="s">
        <v>170</v>
      </c>
      <c r="B16" s="21" t="s">
        <v>171</v>
      </c>
      <c r="C16" s="21" t="s">
        <v>172</v>
      </c>
      <c r="F16" s="21" t="s">
        <v>122</v>
      </c>
      <c r="G16" s="30" t="s">
        <v>123</v>
      </c>
      <c r="H16" s="21" t="s">
        <v>173</v>
      </c>
    </row>
    <row r="17" spans="1:8" ht="24" customHeight="1" x14ac:dyDescent="0.55000000000000004">
      <c r="A17" s="11" t="s">
        <v>174</v>
      </c>
      <c r="B17" s="21" t="s">
        <v>175</v>
      </c>
      <c r="C17" s="21" t="s">
        <v>176</v>
      </c>
      <c r="F17" s="21" t="s">
        <v>122</v>
      </c>
      <c r="G17" s="30" t="s">
        <v>123</v>
      </c>
      <c r="H17" s="21" t="s">
        <v>177</v>
      </c>
    </row>
    <row r="18" spans="1:8" ht="24" customHeight="1" x14ac:dyDescent="0.55000000000000004">
      <c r="A18" s="11" t="s">
        <v>178</v>
      </c>
      <c r="B18" s="21" t="s">
        <v>179</v>
      </c>
      <c r="C18" s="21" t="s">
        <v>180</v>
      </c>
      <c r="D18" s="1" t="s">
        <v>181</v>
      </c>
      <c r="E18" s="1" t="s">
        <v>135</v>
      </c>
      <c r="F18" s="21" t="s">
        <v>122</v>
      </c>
      <c r="G18" s="32" t="s">
        <v>182</v>
      </c>
      <c r="H18" s="21"/>
    </row>
    <row r="19" spans="1:8" ht="24" customHeight="1" x14ac:dyDescent="0.55000000000000004">
      <c r="A19" s="11" t="s">
        <v>183</v>
      </c>
      <c r="B19" s="21" t="s">
        <v>184</v>
      </c>
      <c r="C19" s="21" t="s">
        <v>185</v>
      </c>
      <c r="F19" s="21" t="s">
        <v>122</v>
      </c>
      <c r="G19" s="30" t="s">
        <v>123</v>
      </c>
      <c r="H19" s="21" t="s">
        <v>186</v>
      </c>
    </row>
    <row r="20" spans="1:8" ht="24" customHeight="1" x14ac:dyDescent="0.55000000000000004">
      <c r="A20" s="1" t="s">
        <v>187</v>
      </c>
      <c r="B20" s="1" t="s">
        <v>188</v>
      </c>
      <c r="C20" s="1" t="s">
        <v>189</v>
      </c>
      <c r="D20" s="1" t="s">
        <v>120</v>
      </c>
      <c r="E20" s="1" t="s">
        <v>121</v>
      </c>
      <c r="F20" s="21" t="s">
        <v>122</v>
      </c>
      <c r="G20" s="30" t="s">
        <v>123</v>
      </c>
    </row>
    <row r="21" spans="1:8" ht="24" customHeight="1" x14ac:dyDescent="0.55000000000000004">
      <c r="A21" s="11" t="s">
        <v>190</v>
      </c>
      <c r="B21" s="21" t="s">
        <v>191</v>
      </c>
      <c r="C21" s="21" t="s">
        <v>192</v>
      </c>
      <c r="F21" s="21" t="s">
        <v>122</v>
      </c>
      <c r="G21" s="32" t="s">
        <v>193</v>
      </c>
      <c r="H21" s="21"/>
    </row>
    <row r="22" spans="1:8" ht="24" customHeight="1" x14ac:dyDescent="0.55000000000000004">
      <c r="A22" s="11" t="s">
        <v>194</v>
      </c>
      <c r="B22" s="21" t="s">
        <v>195</v>
      </c>
      <c r="C22" s="21" t="s">
        <v>196</v>
      </c>
      <c r="F22" s="21" t="s">
        <v>122</v>
      </c>
      <c r="G22" s="30" t="s">
        <v>123</v>
      </c>
      <c r="H22" s="21" t="s">
        <v>197</v>
      </c>
    </row>
    <row r="23" spans="1:8" ht="24" customHeight="1" x14ac:dyDescent="0.55000000000000004">
      <c r="A23" s="1" t="s">
        <v>198</v>
      </c>
      <c r="B23" s="1" t="s">
        <v>199</v>
      </c>
      <c r="C23" s="1" t="s">
        <v>200</v>
      </c>
      <c r="D23" s="1" t="s">
        <v>120</v>
      </c>
      <c r="E23" s="1" t="s">
        <v>121</v>
      </c>
      <c r="F23" s="21" t="s">
        <v>122</v>
      </c>
      <c r="G23" s="30" t="s">
        <v>123</v>
      </c>
    </row>
    <row r="24" spans="1:8" ht="24" customHeight="1" x14ac:dyDescent="0.55000000000000004">
      <c r="A24" s="11" t="s">
        <v>201</v>
      </c>
      <c r="B24" s="22" t="s">
        <v>202</v>
      </c>
      <c r="C24" s="22" t="s">
        <v>203</v>
      </c>
      <c r="D24" s="1" t="s">
        <v>204</v>
      </c>
      <c r="E24" s="1" t="s">
        <v>135</v>
      </c>
      <c r="F24" s="22" t="s">
        <v>139</v>
      </c>
      <c r="G24" s="32" t="s">
        <v>205</v>
      </c>
      <c r="H24" s="22"/>
    </row>
    <row r="25" spans="1:8" ht="24" customHeight="1" x14ac:dyDescent="0.55000000000000004">
      <c r="A25" s="11" t="s">
        <v>206</v>
      </c>
      <c r="B25" s="22" t="s">
        <v>202</v>
      </c>
      <c r="C25" s="22" t="s">
        <v>203</v>
      </c>
      <c r="D25" s="1" t="s">
        <v>207</v>
      </c>
      <c r="E25" s="1" t="s">
        <v>135</v>
      </c>
      <c r="F25" s="22" t="s">
        <v>139</v>
      </c>
      <c r="G25" s="32" t="s">
        <v>208</v>
      </c>
      <c r="H25" s="22"/>
    </row>
    <row r="26" spans="1:8" ht="24" customHeight="1" x14ac:dyDescent="0.55000000000000004">
      <c r="A26" s="11" t="s">
        <v>209</v>
      </c>
      <c r="B26" s="1" t="s">
        <v>202</v>
      </c>
      <c r="C26" s="1" t="s">
        <v>203</v>
      </c>
      <c r="D26" s="1" t="s">
        <v>210</v>
      </c>
      <c r="E26" s="1" t="s">
        <v>135</v>
      </c>
      <c r="F26" s="1" t="s">
        <v>139</v>
      </c>
      <c r="G26" s="32" t="s">
        <v>211</v>
      </c>
    </row>
    <row r="27" spans="1:8" ht="24" customHeight="1" x14ac:dyDescent="0.55000000000000004">
      <c r="A27" s="11" t="s">
        <v>212</v>
      </c>
      <c r="B27" s="1" t="s">
        <v>202</v>
      </c>
      <c r="C27" s="1" t="s">
        <v>203</v>
      </c>
      <c r="D27" s="1" t="s">
        <v>213</v>
      </c>
      <c r="E27" s="1" t="s">
        <v>135</v>
      </c>
      <c r="F27" s="1" t="s">
        <v>139</v>
      </c>
      <c r="G27" s="32" t="s">
        <v>214</v>
      </c>
    </row>
    <row r="28" spans="1:8" ht="24" customHeight="1" x14ac:dyDescent="0.55000000000000004">
      <c r="A28" s="11" t="s">
        <v>215</v>
      </c>
      <c r="B28" s="21" t="s">
        <v>216</v>
      </c>
      <c r="C28" s="21" t="s">
        <v>217</v>
      </c>
      <c r="F28" s="21" t="s">
        <v>122</v>
      </c>
      <c r="G28" s="30" t="s">
        <v>123</v>
      </c>
      <c r="H28" s="21" t="s">
        <v>218</v>
      </c>
    </row>
    <row r="29" spans="1:8" ht="24" customHeight="1" x14ac:dyDescent="0.55000000000000004">
      <c r="A29" s="11" t="s">
        <v>219</v>
      </c>
      <c r="B29" s="21" t="s">
        <v>220</v>
      </c>
      <c r="C29" s="21" t="s">
        <v>221</v>
      </c>
      <c r="F29" s="21" t="s">
        <v>122</v>
      </c>
      <c r="G29" s="30" t="s">
        <v>123</v>
      </c>
      <c r="H29" s="21" t="s">
        <v>222</v>
      </c>
    </row>
    <row r="30" spans="1:8" ht="24" customHeight="1" x14ac:dyDescent="0.55000000000000004">
      <c r="A30" s="11" t="s">
        <v>223</v>
      </c>
      <c r="B30" s="21" t="s">
        <v>224</v>
      </c>
      <c r="C30" s="21" t="s">
        <v>225</v>
      </c>
      <c r="F30" s="21" t="s">
        <v>122</v>
      </c>
      <c r="G30" s="30" t="s">
        <v>123</v>
      </c>
      <c r="H30" s="21" t="s">
        <v>226</v>
      </c>
    </row>
    <row r="31" spans="1:8" ht="24" customHeight="1" x14ac:dyDescent="0.55000000000000004">
      <c r="A31" s="11" t="s">
        <v>227</v>
      </c>
      <c r="B31" s="1" t="s">
        <v>224</v>
      </c>
      <c r="C31" s="1" t="s">
        <v>225</v>
      </c>
      <c r="D31" s="1" t="s">
        <v>228</v>
      </c>
      <c r="E31" s="1" t="s">
        <v>135</v>
      </c>
      <c r="F31" s="1" t="s">
        <v>122</v>
      </c>
      <c r="G31" s="32" t="s">
        <v>229</v>
      </c>
    </row>
    <row r="32" spans="1:8" ht="24" customHeight="1" x14ac:dyDescent="0.55000000000000004">
      <c r="A32" s="11" t="s">
        <v>230</v>
      </c>
      <c r="B32" s="21" t="s">
        <v>231</v>
      </c>
      <c r="C32" s="21" t="s">
        <v>232</v>
      </c>
      <c r="F32" s="21" t="s">
        <v>122</v>
      </c>
      <c r="G32" s="30" t="s">
        <v>123</v>
      </c>
      <c r="H32" s="21" t="s">
        <v>233</v>
      </c>
    </row>
    <row r="33" spans="1:8" ht="24" customHeight="1" x14ac:dyDescent="0.55000000000000004">
      <c r="A33" s="11" t="s">
        <v>234</v>
      </c>
      <c r="B33" s="1" t="s">
        <v>231</v>
      </c>
      <c r="C33" s="1" t="s">
        <v>232</v>
      </c>
      <c r="D33" s="1" t="s">
        <v>235</v>
      </c>
      <c r="E33" s="1" t="s">
        <v>135</v>
      </c>
      <c r="F33" s="21" t="s">
        <v>139</v>
      </c>
      <c r="G33" s="32" t="s">
        <v>236</v>
      </c>
    </row>
    <row r="34" spans="1:8" ht="24" customHeight="1" x14ac:dyDescent="0.55000000000000004">
      <c r="A34" s="11" t="s">
        <v>237</v>
      </c>
      <c r="B34" s="21" t="s">
        <v>238</v>
      </c>
      <c r="C34" s="21" t="s">
        <v>239</v>
      </c>
      <c r="F34" s="21" t="s">
        <v>122</v>
      </c>
      <c r="G34" s="30" t="s">
        <v>123</v>
      </c>
      <c r="H34" s="21" t="s">
        <v>240</v>
      </c>
    </row>
    <row r="35" spans="1:8" ht="24" customHeight="1" x14ac:dyDescent="0.55000000000000004">
      <c r="A35" s="1" t="s">
        <v>241</v>
      </c>
      <c r="B35" s="1" t="s">
        <v>242</v>
      </c>
      <c r="C35" s="1" t="s">
        <v>243</v>
      </c>
      <c r="D35" s="1" t="s">
        <v>120</v>
      </c>
      <c r="E35" s="1" t="s">
        <v>121</v>
      </c>
      <c r="F35" s="21" t="s">
        <v>122</v>
      </c>
      <c r="G35" s="30" t="s">
        <v>123</v>
      </c>
    </row>
    <row r="36" spans="1:8" ht="24" customHeight="1" x14ac:dyDescent="0.55000000000000004">
      <c r="A36" s="11" t="s">
        <v>244</v>
      </c>
      <c r="B36" s="21" t="s">
        <v>245</v>
      </c>
      <c r="C36" s="21" t="s">
        <v>246</v>
      </c>
      <c r="F36" s="21" t="s">
        <v>122</v>
      </c>
      <c r="G36" s="30" t="s">
        <v>123</v>
      </c>
      <c r="H36" s="21" t="s">
        <v>247</v>
      </c>
    </row>
    <row r="37" spans="1:8" ht="24" customHeight="1" x14ac:dyDescent="0.55000000000000004">
      <c r="A37" s="1" t="s">
        <v>248</v>
      </c>
      <c r="B37" s="1" t="s">
        <v>249</v>
      </c>
      <c r="C37" s="1" t="s">
        <v>250</v>
      </c>
      <c r="D37" s="1" t="s">
        <v>120</v>
      </c>
      <c r="E37" s="1" t="s">
        <v>121</v>
      </c>
      <c r="F37" s="21" t="s">
        <v>122</v>
      </c>
      <c r="G37" s="30" t="s">
        <v>123</v>
      </c>
    </row>
    <row r="38" spans="1:8" ht="24" customHeight="1" x14ac:dyDescent="0.55000000000000004">
      <c r="A38" s="11" t="s">
        <v>251</v>
      </c>
      <c r="B38" s="21" t="s">
        <v>252</v>
      </c>
      <c r="C38" s="21" t="s">
        <v>253</v>
      </c>
      <c r="D38" s="1" t="s">
        <v>254</v>
      </c>
      <c r="E38" s="1" t="s">
        <v>135</v>
      </c>
      <c r="F38" s="21" t="s">
        <v>122</v>
      </c>
      <c r="G38" s="32" t="s">
        <v>255</v>
      </c>
      <c r="H38" s="21"/>
    </row>
    <row r="39" spans="1:8" ht="24" customHeight="1" x14ac:dyDescent="0.55000000000000004">
      <c r="A39" s="11" t="s">
        <v>256</v>
      </c>
      <c r="B39" s="21" t="s">
        <v>252</v>
      </c>
      <c r="C39" s="21" t="s">
        <v>253</v>
      </c>
      <c r="D39" s="1" t="s">
        <v>120</v>
      </c>
      <c r="E39" s="1" t="s">
        <v>121</v>
      </c>
      <c r="F39" s="21" t="s">
        <v>122</v>
      </c>
      <c r="G39" s="32" t="s">
        <v>123</v>
      </c>
      <c r="H39" s="21"/>
    </row>
    <row r="40" spans="1:8" ht="24" customHeight="1" x14ac:dyDescent="0.55000000000000004">
      <c r="A40" s="1" t="s">
        <v>257</v>
      </c>
      <c r="B40" s="1" t="s">
        <v>258</v>
      </c>
      <c r="C40" s="1" t="s">
        <v>259</v>
      </c>
      <c r="D40" s="1" t="s">
        <v>120</v>
      </c>
      <c r="E40" s="1" t="s">
        <v>121</v>
      </c>
      <c r="F40" s="21" t="s">
        <v>122</v>
      </c>
      <c r="G40" s="30" t="s">
        <v>123</v>
      </c>
    </row>
    <row r="41" spans="1:8" ht="24" x14ac:dyDescent="0.55000000000000004">
      <c r="A41" s="11" t="s">
        <v>260</v>
      </c>
      <c r="B41" s="21" t="s">
        <v>261</v>
      </c>
      <c r="C41" s="21" t="s">
        <v>262</v>
      </c>
      <c r="F41" s="21" t="s">
        <v>122</v>
      </c>
      <c r="G41" s="30" t="s">
        <v>123</v>
      </c>
      <c r="H41" s="21" t="s">
        <v>263</v>
      </c>
    </row>
    <row r="42" spans="1:8" ht="24" x14ac:dyDescent="0.55000000000000004">
      <c r="A42" s="1" t="s">
        <v>264</v>
      </c>
      <c r="B42" s="1" t="s">
        <v>265</v>
      </c>
      <c r="C42" s="1" t="s">
        <v>266</v>
      </c>
      <c r="D42" s="1" t="s">
        <v>120</v>
      </c>
      <c r="E42" s="1" t="s">
        <v>121</v>
      </c>
      <c r="F42" s="21" t="s">
        <v>122</v>
      </c>
      <c r="G42" s="30" t="s">
        <v>123</v>
      </c>
    </row>
    <row r="43" spans="1:8" ht="24" x14ac:dyDescent="0.55000000000000004">
      <c r="A43" s="11" t="s">
        <v>267</v>
      </c>
      <c r="B43" s="21" t="s">
        <v>268</v>
      </c>
      <c r="C43" s="21" t="s">
        <v>269</v>
      </c>
      <c r="F43" s="21" t="s">
        <v>122</v>
      </c>
      <c r="G43" s="30" t="s">
        <v>123</v>
      </c>
      <c r="H43" s="21" t="s">
        <v>270</v>
      </c>
    </row>
    <row r="44" spans="1:8" ht="24" x14ac:dyDescent="0.55000000000000004">
      <c r="A44" s="11" t="s">
        <v>271</v>
      </c>
      <c r="B44" s="21" t="s">
        <v>272</v>
      </c>
      <c r="C44" s="21" t="s">
        <v>273</v>
      </c>
      <c r="D44" s="1" t="s">
        <v>274</v>
      </c>
      <c r="E44" s="1" t="s">
        <v>135</v>
      </c>
      <c r="F44" s="21" t="s">
        <v>122</v>
      </c>
      <c r="G44" s="32" t="s">
        <v>275</v>
      </c>
      <c r="H44" s="21"/>
    </row>
    <row r="45" spans="1:8" ht="24" x14ac:dyDescent="0.55000000000000004">
      <c r="A45" s="1" t="s">
        <v>276</v>
      </c>
      <c r="B45" s="1" t="s">
        <v>277</v>
      </c>
      <c r="C45" s="1" t="s">
        <v>278</v>
      </c>
      <c r="D45" s="1" t="s">
        <v>120</v>
      </c>
      <c r="E45" s="1" t="s">
        <v>121</v>
      </c>
      <c r="F45" s="21" t="s">
        <v>122</v>
      </c>
      <c r="G45" s="30" t="s">
        <v>123</v>
      </c>
    </row>
    <row r="46" spans="1:8" ht="24" x14ac:dyDescent="0.55000000000000004">
      <c r="A46" s="11" t="s">
        <v>279</v>
      </c>
      <c r="B46" s="21" t="s">
        <v>280</v>
      </c>
      <c r="C46" s="21" t="s">
        <v>281</v>
      </c>
      <c r="D46" s="1" t="s">
        <v>282</v>
      </c>
      <c r="E46" s="1" t="s">
        <v>135</v>
      </c>
      <c r="F46" s="21" t="s">
        <v>139</v>
      </c>
      <c r="G46" s="33" t="s">
        <v>283</v>
      </c>
      <c r="H46" s="21"/>
    </row>
    <row r="47" spans="1:8" ht="24" x14ac:dyDescent="0.55000000000000004">
      <c r="A47" s="11" t="s">
        <v>284</v>
      </c>
      <c r="B47" s="1" t="s">
        <v>280</v>
      </c>
      <c r="C47" s="1" t="s">
        <v>281</v>
      </c>
      <c r="D47" s="1" t="s">
        <v>285</v>
      </c>
      <c r="E47" s="1" t="s">
        <v>135</v>
      </c>
      <c r="F47" s="1" t="s">
        <v>139</v>
      </c>
      <c r="G47" s="32" t="s">
        <v>286</v>
      </c>
    </row>
    <row r="48" spans="1:8" ht="24" x14ac:dyDescent="0.55000000000000004">
      <c r="A48" s="11" t="s">
        <v>287</v>
      </c>
      <c r="B48" s="1" t="s">
        <v>280</v>
      </c>
      <c r="C48" s="1" t="s">
        <v>281</v>
      </c>
      <c r="D48" s="1" t="s">
        <v>288</v>
      </c>
      <c r="E48" s="1" t="s">
        <v>135</v>
      </c>
      <c r="F48" s="1" t="s">
        <v>139</v>
      </c>
      <c r="G48" s="32" t="s">
        <v>289</v>
      </c>
    </row>
    <row r="49" spans="1:7" ht="24" x14ac:dyDescent="0.55000000000000004">
      <c r="A49" s="11" t="s">
        <v>290</v>
      </c>
      <c r="B49" s="1" t="s">
        <v>280</v>
      </c>
      <c r="C49" s="1" t="s">
        <v>281</v>
      </c>
      <c r="D49" s="1" t="s">
        <v>291</v>
      </c>
      <c r="E49" s="1" t="s">
        <v>135</v>
      </c>
      <c r="F49" s="1" t="s">
        <v>139</v>
      </c>
      <c r="G49" s="32" t="s">
        <v>292</v>
      </c>
    </row>
    <row r="50" spans="1:7" ht="24" x14ac:dyDescent="0.55000000000000004">
      <c r="A50" s="11" t="s">
        <v>293</v>
      </c>
      <c r="B50" s="1" t="s">
        <v>280</v>
      </c>
      <c r="C50" s="1" t="s">
        <v>281</v>
      </c>
      <c r="D50" s="1" t="s">
        <v>294</v>
      </c>
      <c r="E50" s="1" t="s">
        <v>135</v>
      </c>
      <c r="F50" s="1" t="s">
        <v>139</v>
      </c>
      <c r="G50" s="32" t="s">
        <v>295</v>
      </c>
    </row>
    <row r="51" spans="1:7" ht="24" x14ac:dyDescent="0.55000000000000004">
      <c r="A51" s="11" t="s">
        <v>296</v>
      </c>
      <c r="B51" s="1" t="s">
        <v>280</v>
      </c>
      <c r="C51" s="1" t="s">
        <v>281</v>
      </c>
      <c r="D51" s="11" t="s">
        <v>297</v>
      </c>
      <c r="E51" s="11" t="s">
        <v>132</v>
      </c>
      <c r="F51" s="21" t="s">
        <v>122</v>
      </c>
      <c r="G51" s="30" t="s">
        <v>123</v>
      </c>
    </row>
    <row r="52" spans="1:7" ht="24" x14ac:dyDescent="0.55000000000000004">
      <c r="A52" s="1" t="s">
        <v>298</v>
      </c>
      <c r="B52" s="1" t="s">
        <v>299</v>
      </c>
      <c r="C52" s="1" t="s">
        <v>300</v>
      </c>
      <c r="D52" s="1" t="s">
        <v>120</v>
      </c>
      <c r="E52" s="1" t="s">
        <v>121</v>
      </c>
      <c r="F52" s="21" t="s">
        <v>122</v>
      </c>
      <c r="G52" s="30" t="s">
        <v>123</v>
      </c>
    </row>
    <row r="53" spans="1:7" ht="24" x14ac:dyDescent="0.55000000000000004">
      <c r="A53" s="1" t="s">
        <v>301</v>
      </c>
      <c r="B53" s="1" t="s">
        <v>302</v>
      </c>
      <c r="C53" s="1" t="s">
        <v>303</v>
      </c>
      <c r="D53" s="11" t="s">
        <v>297</v>
      </c>
      <c r="E53" s="11" t="s">
        <v>132</v>
      </c>
      <c r="F53" s="21" t="s">
        <v>122</v>
      </c>
      <c r="G53" s="30" t="s">
        <v>123</v>
      </c>
    </row>
    <row r="54" spans="1:7" ht="24" x14ac:dyDescent="0.55000000000000004">
      <c r="A54" s="1" t="s">
        <v>304</v>
      </c>
      <c r="B54" s="1" t="s">
        <v>305</v>
      </c>
      <c r="C54" s="1" t="s">
        <v>306</v>
      </c>
      <c r="D54" s="11" t="s">
        <v>297</v>
      </c>
      <c r="E54" s="11" t="s">
        <v>132</v>
      </c>
      <c r="F54" s="21" t="s">
        <v>122</v>
      </c>
      <c r="G54" s="30" t="s">
        <v>123</v>
      </c>
    </row>
    <row r="55" spans="1:7" ht="24" x14ac:dyDescent="0.55000000000000004">
      <c r="A55" s="1" t="s">
        <v>307</v>
      </c>
      <c r="B55" s="1" t="s">
        <v>308</v>
      </c>
      <c r="C55" s="1" t="s">
        <v>309</v>
      </c>
      <c r="D55" s="11" t="s">
        <v>297</v>
      </c>
      <c r="E55" s="11" t="s">
        <v>132</v>
      </c>
      <c r="F55" s="21" t="s">
        <v>122</v>
      </c>
      <c r="G55" s="30" t="s">
        <v>123</v>
      </c>
    </row>
  </sheetData>
  <hyperlinks>
    <hyperlink ref="G5" r:id="rId1" xr:uid="{EFFBE8BE-60BE-43AE-853C-8E19D327AE25}"/>
    <hyperlink ref="G6" r:id="rId2" xr:uid="{48B3BC76-3146-463B-9B4A-AE6A62DE0735}"/>
    <hyperlink ref="G11" r:id="rId3" xr:uid="{78CBA9CD-DA65-432A-AF99-D0FA4053A84B}"/>
    <hyperlink ref="G12" r:id="rId4" xr:uid="{F71078EA-A70F-462B-A6D1-6931A1295CE1}"/>
    <hyperlink ref="G13" r:id="rId5" location="coral-report-scroll" xr:uid="{B2A678E4-CF32-4B4F-A0B4-59F925578677}"/>
    <hyperlink ref="G15" r:id="rId6" xr:uid="{2CE74DA2-EA73-42B8-A521-0DD34B4177A8}"/>
    <hyperlink ref="G18" r:id="rId7" xr:uid="{11906A61-BA36-4DA8-945E-49F610DB878F}"/>
    <hyperlink ref="G21" r:id="rId8" xr:uid="{7FC485E0-EF0B-4F5A-B733-F83D8204FF75}"/>
    <hyperlink ref="G24" r:id="rId9" xr:uid="{8A756DC4-BBCF-4C0D-AADA-56BC5C8E1745}"/>
    <hyperlink ref="G25" r:id="rId10" location="/" xr:uid="{656ADEAA-637E-449E-96EB-F2496E197776}"/>
    <hyperlink ref="G26" r:id="rId11" xr:uid="{1CC5CF0B-D6B8-483E-A2BF-B029E53A9068}"/>
    <hyperlink ref="G27" r:id="rId12" xr:uid="{194BD49B-707B-452F-9462-FDDA8DBE75FA}"/>
    <hyperlink ref="G31" r:id="rId13" xr:uid="{09ADE672-E2A7-462E-911F-9534EC7F410E}"/>
    <hyperlink ref="G33" r:id="rId14" xr:uid="{B2A50A5E-16A0-4B60-9649-60231848D3EB}"/>
    <hyperlink ref="G38" r:id="rId15" location="gsc.tab=0" xr:uid="{871D2E1A-2177-4C08-8128-51A3DCD20225}"/>
    <hyperlink ref="G44" r:id="rId16" xr:uid="{AFE2BE64-75A0-409E-B69D-F3487ADD7782}"/>
    <hyperlink ref="G46" r:id="rId17" xr:uid="{94AAB0CB-779A-4909-9C2E-25E9B8801CB0}"/>
    <hyperlink ref="G47" r:id="rId18" xr:uid="{8A9D79F0-8156-4693-9170-5D023A69D4D7}"/>
    <hyperlink ref="G48" r:id="rId19" xr:uid="{D91C0BA0-3620-4A1C-B9D8-EFAF9B79C76E}"/>
    <hyperlink ref="G49" r:id="rId20" xr:uid="{40918F3C-6CF7-4C2E-B02E-040DA159813B}"/>
    <hyperlink ref="G50" r:id="rId21" xr:uid="{D1AE57D4-E3C9-41DE-8FF3-3A100B8B3268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D9D9"/>
  </sheetPr>
  <dimension ref="A1:H51"/>
  <sheetViews>
    <sheetView zoomScale="125" zoomScaleNormal="125" workbookViewId="0">
      <pane ySplit="1" topLeftCell="A2" activePane="bottomLeft" state="frozen"/>
      <selection pane="bottomLeft" activeCell="A6" sqref="A6"/>
    </sheetView>
  </sheetViews>
  <sheetFormatPr defaultColWidth="8.7109375" defaultRowHeight="61.5" customHeight="1" x14ac:dyDescent="0.55000000000000004"/>
  <cols>
    <col min="1" max="1" width="19" style="1" customWidth="1"/>
    <col min="2" max="2" width="66.7109375" style="1" customWidth="1"/>
    <col min="3" max="3" width="38.140625" style="1" customWidth="1"/>
    <col min="4" max="4" width="49.85546875" style="1" customWidth="1"/>
    <col min="5" max="5" width="17.140625" style="1" customWidth="1"/>
    <col min="6" max="6" width="15.42578125" style="1" customWidth="1"/>
    <col min="7" max="7" width="37.85546875" style="1" customWidth="1"/>
    <col min="8" max="8" width="25" style="1" customWidth="1"/>
    <col min="9" max="9" width="8.7109375" style="1" customWidth="1"/>
    <col min="10" max="16384" width="8.7109375" style="1"/>
  </cols>
  <sheetData>
    <row r="1" spans="1:8" s="20" customFormat="1" ht="69.75" customHeight="1" x14ac:dyDescent="0.55000000000000004">
      <c r="A1" s="41" t="s">
        <v>310</v>
      </c>
      <c r="B1" s="41" t="s">
        <v>311</v>
      </c>
      <c r="C1" s="41" t="s">
        <v>312</v>
      </c>
      <c r="D1"/>
      <c r="E1"/>
      <c r="F1"/>
      <c r="G1"/>
      <c r="H1"/>
    </row>
    <row r="2" spans="1:8" ht="24" customHeight="1" x14ac:dyDescent="0.55000000000000004">
      <c r="A2" s="42" t="s">
        <v>119</v>
      </c>
      <c r="B2" s="42" t="s">
        <v>118</v>
      </c>
      <c r="C2" s="23" t="str">
        <f>HYPERLINK("#'BMA'!A1","ไปที่ชีต BMA →")</f>
        <v>ไปที่ชีต BMA →</v>
      </c>
      <c r="D2"/>
      <c r="E2"/>
      <c r="F2"/>
      <c r="G2"/>
      <c r="H2"/>
    </row>
    <row r="3" spans="1:8" ht="24" customHeight="1" x14ac:dyDescent="0.55000000000000004">
      <c r="A3" s="42" t="s">
        <v>126</v>
      </c>
      <c r="B3" s="42" t="s">
        <v>125</v>
      </c>
      <c r="C3" s="23" t="str">
        <f>HYPERLINK("#'CDD'!A1","ไปที่ชีต CDD →")</f>
        <v>ไปที่ชีต CDD →</v>
      </c>
      <c r="D3"/>
      <c r="E3"/>
      <c r="F3"/>
      <c r="G3"/>
      <c r="H3"/>
    </row>
    <row r="4" spans="1:8" ht="24" customHeight="1" x14ac:dyDescent="0.55000000000000004">
      <c r="A4" s="42" t="s">
        <v>130</v>
      </c>
      <c r="B4" s="42" t="s">
        <v>129</v>
      </c>
      <c r="C4" s="23" t="str">
        <f>HYPERLINK("#'DCCE'!A1","ไปที่ชีต DCCE →")</f>
        <v>ไปที่ชีต DCCE →</v>
      </c>
      <c r="D4"/>
      <c r="E4"/>
      <c r="F4"/>
      <c r="G4"/>
      <c r="H4"/>
    </row>
    <row r="5" spans="1:8" ht="24" customHeight="1" x14ac:dyDescent="0.55000000000000004">
      <c r="A5" s="42" t="s">
        <v>143</v>
      </c>
      <c r="B5" s="42" t="s">
        <v>142</v>
      </c>
      <c r="C5" s="23" t="str">
        <f>HYPERLINK("#'DDPM'!A1","ไปที่ชีต DDPM →")</f>
        <v>ไปที่ชีต DDPM →</v>
      </c>
      <c r="D5"/>
      <c r="E5"/>
      <c r="F5"/>
      <c r="G5"/>
      <c r="H5"/>
    </row>
    <row r="6" spans="1:8" ht="24" customHeight="1" x14ac:dyDescent="0.55000000000000004">
      <c r="A6" s="42" t="s">
        <v>154</v>
      </c>
      <c r="B6" s="42" t="s">
        <v>153</v>
      </c>
      <c r="C6" s="23" t="str">
        <f>HYPERLINK("#'DMCR'!A1","ไปที่ชีต DMCR →")</f>
        <v>ไปที่ชีต DMCR →</v>
      </c>
      <c r="D6"/>
      <c r="E6"/>
      <c r="F6"/>
      <c r="G6"/>
      <c r="H6"/>
    </row>
    <row r="7" spans="1:8" ht="24" customHeight="1" x14ac:dyDescent="0.55000000000000004">
      <c r="A7" s="42" t="s">
        <v>165</v>
      </c>
      <c r="B7" s="42" t="s">
        <v>164</v>
      </c>
      <c r="C7" s="23" t="str">
        <f>HYPERLINK("#'DMR'!A1","ไปที่ชีต DMR →")</f>
        <v>ไปที่ชีต DMR →</v>
      </c>
      <c r="D7"/>
      <c r="E7"/>
      <c r="F7"/>
      <c r="G7"/>
      <c r="H7"/>
    </row>
    <row r="8" spans="1:8" ht="24" customHeight="1" x14ac:dyDescent="0.55000000000000004">
      <c r="A8" s="42" t="s">
        <v>172</v>
      </c>
      <c r="B8" s="42" t="s">
        <v>171</v>
      </c>
      <c r="C8" s="23" t="str">
        <f>HYPERLINK("#'DOH'!A1","ไปที่ชีต DOH →")</f>
        <v>ไปที่ชีต DOH →</v>
      </c>
      <c r="D8"/>
      <c r="E8"/>
      <c r="F8"/>
      <c r="G8"/>
      <c r="H8"/>
    </row>
    <row r="9" spans="1:8" ht="24" customHeight="1" x14ac:dyDescent="0.55000000000000004">
      <c r="A9" s="42" t="s">
        <v>176</v>
      </c>
      <c r="B9" s="42" t="s">
        <v>175</v>
      </c>
      <c r="C9" s="23" t="str">
        <f>HYPERLINK("#'DOHealth'!A1","ไปที่ชีต DOHealth →")</f>
        <v>ไปที่ชีต DOHealth →</v>
      </c>
      <c r="D9"/>
      <c r="E9"/>
      <c r="F9"/>
      <c r="G9"/>
      <c r="H9"/>
    </row>
    <row r="10" spans="1:8" ht="24" customHeight="1" x14ac:dyDescent="0.55000000000000004">
      <c r="A10" s="42" t="s">
        <v>180</v>
      </c>
      <c r="B10" s="42" t="s">
        <v>179</v>
      </c>
      <c r="C10" s="23" t="str">
        <f>HYPERLINK("#'DOPA'!A1","ไปที่ชีต DOPA →")</f>
        <v>ไปที่ชีต DOPA →</v>
      </c>
      <c r="D10"/>
      <c r="E10"/>
      <c r="F10"/>
      <c r="G10"/>
      <c r="H10"/>
    </row>
    <row r="11" spans="1:8" ht="24" customHeight="1" x14ac:dyDescent="0.55000000000000004">
      <c r="A11" s="42" t="s">
        <v>185</v>
      </c>
      <c r="B11" s="42" t="s">
        <v>184</v>
      </c>
      <c r="C11" s="23" t="str">
        <f>HYPERLINK("#'DOT'!A1","ไปที่ชีต DOT →")</f>
        <v>ไปที่ชีต DOT →</v>
      </c>
      <c r="D11"/>
      <c r="E11"/>
      <c r="F11"/>
      <c r="G11"/>
      <c r="H11"/>
    </row>
    <row r="12" spans="1:8" ht="24" customHeight="1" x14ac:dyDescent="0.55000000000000004">
      <c r="A12" s="42" t="s">
        <v>189</v>
      </c>
      <c r="B12" s="42" t="s">
        <v>188</v>
      </c>
      <c r="C12" s="23" t="str">
        <f>HYPERLINK("#'DPT'!A1","ไปที่ชีต DPT →")</f>
        <v>ไปที่ชีต DPT →</v>
      </c>
      <c r="D12"/>
      <c r="E12"/>
      <c r="F12"/>
      <c r="G12"/>
      <c r="H12"/>
    </row>
    <row r="13" spans="1:8" ht="24" customHeight="1" x14ac:dyDescent="0.55000000000000004">
      <c r="A13" s="42" t="s">
        <v>303</v>
      </c>
      <c r="B13" s="42" t="s">
        <v>302</v>
      </c>
      <c r="C13" s="23" t="str">
        <f>HYPERLINK("#'DWR'!A1","ไปที่ชีต DWR →")</f>
        <v>ไปที่ชีต DWR →</v>
      </c>
      <c r="D13"/>
      <c r="E13"/>
      <c r="F13"/>
      <c r="G13"/>
      <c r="H13"/>
    </row>
    <row r="14" spans="1:8" ht="24" customHeight="1" x14ac:dyDescent="0.55000000000000004">
      <c r="A14" s="42" t="s">
        <v>192</v>
      </c>
      <c r="B14" s="42" t="s">
        <v>191</v>
      </c>
      <c r="C14" s="23" t="str">
        <f>HYPERLINK("#'EPPO'!A1","ไปที่ชีต EPPO →")</f>
        <v>ไปที่ชีต EPPO →</v>
      </c>
      <c r="D14"/>
      <c r="E14"/>
      <c r="F14"/>
      <c r="G14"/>
      <c r="H14"/>
    </row>
    <row r="15" spans="1:8" ht="24" customHeight="1" x14ac:dyDescent="0.55000000000000004">
      <c r="A15" s="42" t="s">
        <v>196</v>
      </c>
      <c r="B15" s="42" t="s">
        <v>195</v>
      </c>
      <c r="C15" s="23" t="str">
        <f>HYPERLINK("#'FAD'!A1","ไปที่ชีต FAD →")</f>
        <v>ไปที่ชีต FAD →</v>
      </c>
      <c r="D15"/>
      <c r="E15"/>
      <c r="F15"/>
      <c r="G15"/>
      <c r="H15"/>
    </row>
    <row r="16" spans="1:8" ht="24" customHeight="1" x14ac:dyDescent="0.55000000000000004">
      <c r="A16" s="42" t="s">
        <v>200</v>
      </c>
      <c r="B16" s="42" t="s">
        <v>199</v>
      </c>
      <c r="C16" s="23" t="str">
        <f>HYPERLINK("#'FTI'!A1","ไปที่ชีต FTI →")</f>
        <v>ไปที่ชีต FTI →</v>
      </c>
      <c r="D16"/>
      <c r="E16"/>
      <c r="F16"/>
      <c r="G16"/>
      <c r="H16"/>
    </row>
    <row r="17" spans="1:8" ht="24" customHeight="1" x14ac:dyDescent="0.55000000000000004">
      <c r="A17" s="42" t="s">
        <v>203</v>
      </c>
      <c r="B17" s="42" t="s">
        <v>202</v>
      </c>
      <c r="C17" s="23" t="str">
        <f>HYPERLINK("#'GISTDA'!A1","ไปที่ชีต GISTDA →")</f>
        <v>ไปที่ชีต GISTDA →</v>
      </c>
      <c r="D17"/>
      <c r="E17"/>
      <c r="F17"/>
      <c r="G17"/>
      <c r="H17"/>
    </row>
    <row r="18" spans="1:8" ht="24" customHeight="1" x14ac:dyDescent="0.55000000000000004">
      <c r="A18" s="42" t="s">
        <v>217</v>
      </c>
      <c r="B18" s="42" t="s">
        <v>216</v>
      </c>
      <c r="C18" s="23" t="str">
        <f>HYPERLINK("#'HII'!A1","ไปที่ชีต HII →")</f>
        <v>ไปที่ชีต HII →</v>
      </c>
      <c r="D18"/>
      <c r="E18"/>
      <c r="F18"/>
      <c r="G18"/>
      <c r="H18"/>
    </row>
    <row r="19" spans="1:8" ht="24" customHeight="1" x14ac:dyDescent="0.55000000000000004">
      <c r="A19" s="42" t="s">
        <v>221</v>
      </c>
      <c r="B19" s="42" t="s">
        <v>220</v>
      </c>
      <c r="C19" s="23" t="str">
        <f>HYPERLINK("#'IEAT'!A1","ไปที่ชีต IEAT →")</f>
        <v>ไปที่ชีต IEAT →</v>
      </c>
      <c r="D19"/>
      <c r="E19"/>
      <c r="F19"/>
      <c r="G19"/>
      <c r="H19"/>
    </row>
    <row r="20" spans="1:8" ht="24" customHeight="1" x14ac:dyDescent="0.55000000000000004">
      <c r="A20" s="42" t="s">
        <v>225</v>
      </c>
      <c r="B20" s="42" t="s">
        <v>224</v>
      </c>
      <c r="C20" s="23" t="str">
        <f>HYPERLINK("#'LDD'!A1","ไปที่ชีต LDD →")</f>
        <v>ไปที่ชีต LDD →</v>
      </c>
      <c r="D20"/>
      <c r="E20"/>
      <c r="F20"/>
      <c r="G20"/>
      <c r="H20"/>
    </row>
    <row r="21" spans="1:8" ht="24" customHeight="1" x14ac:dyDescent="0.55000000000000004">
      <c r="A21" s="42" t="s">
        <v>232</v>
      </c>
      <c r="B21" s="42" t="s">
        <v>231</v>
      </c>
      <c r="C21" s="23" t="str">
        <f>HYPERLINK("#'MD'!A1","ไปที่ชีต MD →")</f>
        <v>ไปที่ชีต MD →</v>
      </c>
      <c r="D21"/>
      <c r="E21"/>
      <c r="F21"/>
      <c r="G21"/>
      <c r="H21"/>
    </row>
    <row r="22" spans="1:8" ht="24" customHeight="1" x14ac:dyDescent="0.55000000000000004">
      <c r="A22" s="42" t="s">
        <v>239</v>
      </c>
      <c r="B22" s="42" t="s">
        <v>238</v>
      </c>
      <c r="C22" s="23" t="str">
        <f>HYPERLINK("#'MHESI'!A1","ไปที่ชีต MHESI →")</f>
        <v>ไปที่ชีต MHESI →</v>
      </c>
      <c r="D22"/>
      <c r="E22"/>
      <c r="F22"/>
      <c r="G22"/>
      <c r="H22"/>
    </row>
    <row r="23" spans="1:8" ht="24" customHeight="1" x14ac:dyDescent="0.55000000000000004">
      <c r="A23" s="42" t="s">
        <v>243</v>
      </c>
      <c r="B23" s="42" t="s">
        <v>242</v>
      </c>
      <c r="C23" s="23" t="str">
        <f>HYPERLINK("#'MSDHS'!A1","ไปที่ชีต MSDHS →")</f>
        <v>ไปที่ชีต MSDHS →</v>
      </c>
      <c r="D23"/>
      <c r="E23"/>
      <c r="F23"/>
      <c r="G23"/>
      <c r="H23"/>
    </row>
    <row r="24" spans="1:8" ht="24" customHeight="1" x14ac:dyDescent="0.55000000000000004">
      <c r="A24" s="42" t="s">
        <v>246</v>
      </c>
      <c r="B24" s="42" t="s">
        <v>245</v>
      </c>
      <c r="C24" s="23" t="str">
        <f>HYPERLINK("#'MWA'!A1","ไปที่ชีต MWA →")</f>
        <v>ไปที่ชีต MWA →</v>
      </c>
      <c r="D24"/>
      <c r="E24"/>
      <c r="F24"/>
      <c r="G24"/>
      <c r="H24"/>
    </row>
    <row r="25" spans="1:8" ht="24" customHeight="1" x14ac:dyDescent="0.55000000000000004">
      <c r="A25" s="42" t="s">
        <v>306</v>
      </c>
      <c r="B25" s="42" t="s">
        <v>305</v>
      </c>
      <c r="C25" s="23" t="str">
        <f>HYPERLINK("#'MoPH'!A1","ไปที่ชีต MoPH →")</f>
        <v>ไปที่ชีต MoPH →</v>
      </c>
      <c r="D25"/>
      <c r="E25"/>
      <c r="F25"/>
      <c r="G25"/>
      <c r="H25"/>
    </row>
    <row r="26" spans="1:8" ht="24" customHeight="1" x14ac:dyDescent="0.55000000000000004">
      <c r="A26" s="42" t="s">
        <v>250</v>
      </c>
      <c r="B26" s="42" t="s">
        <v>249</v>
      </c>
      <c r="C26" s="23" t="str">
        <f>HYPERLINK("#'NESDC'!A1","ไปที่ชีต NESDC →")</f>
        <v>ไปที่ชีต NESDC →</v>
      </c>
      <c r="D26"/>
      <c r="E26"/>
      <c r="F26"/>
      <c r="G26"/>
      <c r="H26"/>
    </row>
    <row r="27" spans="1:8" ht="24" customHeight="1" x14ac:dyDescent="0.55000000000000004">
      <c r="A27" s="42" t="s">
        <v>253</v>
      </c>
      <c r="B27" s="42" t="s">
        <v>252</v>
      </c>
      <c r="C27" s="23" t="str">
        <f>HYPERLINK("#'NSO'!A1","ไปที่ชีต NSO →")</f>
        <v>ไปที่ชีต NSO →</v>
      </c>
      <c r="D27"/>
      <c r="E27"/>
      <c r="F27"/>
      <c r="G27"/>
      <c r="H27"/>
    </row>
    <row r="28" spans="1:8" ht="24" customHeight="1" x14ac:dyDescent="0.55000000000000004">
      <c r="A28" s="42" t="s">
        <v>262</v>
      </c>
      <c r="B28" s="42" t="s">
        <v>261</v>
      </c>
      <c r="C28" s="23" t="str">
        <f>HYPERLINK("#'OBEC'!A1","ไปที่ชีต OBEC →")</f>
        <v>ไปที่ชีต OBEC →</v>
      </c>
      <c r="D28"/>
      <c r="E28"/>
      <c r="F28"/>
      <c r="G28"/>
      <c r="H28"/>
    </row>
    <row r="29" spans="1:8" ht="24" customHeight="1" x14ac:dyDescent="0.55000000000000004">
      <c r="A29" s="42" t="s">
        <v>309</v>
      </c>
      <c r="B29" s="42" t="s">
        <v>308</v>
      </c>
      <c r="C29" s="23" t="str">
        <f>HYPERLINK("#'ONEP'!A1","ไปที่ชีต ONEP →")</f>
        <v>ไปที่ชีต ONEP →</v>
      </c>
      <c r="D29"/>
      <c r="E29"/>
      <c r="F29"/>
      <c r="G29"/>
      <c r="H29"/>
    </row>
    <row r="30" spans="1:8" ht="24" customHeight="1" x14ac:dyDescent="0.55000000000000004">
      <c r="A30" s="42" t="s">
        <v>266</v>
      </c>
      <c r="B30" s="42" t="s">
        <v>265</v>
      </c>
      <c r="C30" s="23" t="str">
        <f>HYPERLINK("#'OTP'!A1","ไปที่ชีต OTP →")</f>
        <v>ไปที่ชีต OTP →</v>
      </c>
      <c r="D30"/>
      <c r="E30"/>
      <c r="F30"/>
      <c r="G30"/>
      <c r="H30"/>
    </row>
    <row r="31" spans="1:8" ht="24" customHeight="1" x14ac:dyDescent="0.55000000000000004">
      <c r="A31" s="42" t="s">
        <v>269</v>
      </c>
      <c r="B31" s="42" t="s">
        <v>268</v>
      </c>
      <c r="C31" s="23" t="str">
        <f>HYPERLINK("#'PWA'!A1","ไปที่ชีต PWA →")</f>
        <v>ไปที่ชีต PWA →</v>
      </c>
      <c r="D31"/>
      <c r="E31"/>
      <c r="F31"/>
      <c r="G31"/>
      <c r="H31"/>
    </row>
    <row r="32" spans="1:8" ht="24" customHeight="1" x14ac:dyDescent="0.55000000000000004">
      <c r="A32" s="42" t="s">
        <v>273</v>
      </c>
      <c r="B32" s="42" t="s">
        <v>272</v>
      </c>
      <c r="C32" s="23" t="str">
        <f>HYPERLINK("#'SRT'!A1","ไปที่ชีต SRT →")</f>
        <v>ไปที่ชีต SRT →</v>
      </c>
      <c r="D32"/>
      <c r="E32"/>
      <c r="F32"/>
      <c r="G32"/>
      <c r="H32"/>
    </row>
    <row r="33" spans="1:8" ht="24" customHeight="1" x14ac:dyDescent="0.55000000000000004">
      <c r="A33" s="42" t="s">
        <v>281</v>
      </c>
      <c r="B33" s="42" t="s">
        <v>280</v>
      </c>
      <c r="C33" s="23" t="str">
        <f>HYPERLINK("#'TMD'!A1","ไปที่ชีต TMD →")</f>
        <v>ไปที่ชีต TMD →</v>
      </c>
      <c r="D33"/>
      <c r="E33"/>
      <c r="F33"/>
      <c r="G33"/>
      <c r="H33"/>
    </row>
    <row r="34" spans="1:8" ht="24" customHeight="1" x14ac:dyDescent="0.55000000000000004">
      <c r="A34" s="42" t="s">
        <v>300</v>
      </c>
      <c r="B34" s="42" t="s">
        <v>299</v>
      </c>
      <c r="C34" s="23" t="str">
        <f>HYPERLINK("#'UDDC'!A1","ไปที่ชีต UDDC →")</f>
        <v>ไปที่ชีต UDDC →</v>
      </c>
      <c r="D34"/>
      <c r="E34"/>
      <c r="F34"/>
      <c r="G34"/>
      <c r="H34"/>
    </row>
    <row r="35" spans="1:8" ht="24" customHeight="1" x14ac:dyDescent="0.55000000000000004">
      <c r="A35"/>
      <c r="B35"/>
      <c r="C35"/>
      <c r="D35"/>
      <c r="E35"/>
      <c r="F35"/>
      <c r="G35"/>
      <c r="H35"/>
    </row>
    <row r="36" spans="1:8" ht="24" customHeight="1" x14ac:dyDescent="0.55000000000000004">
      <c r="A36"/>
      <c r="B36"/>
      <c r="C36"/>
      <c r="D36"/>
      <c r="E36"/>
      <c r="F36"/>
      <c r="G36"/>
      <c r="H36"/>
    </row>
    <row r="37" spans="1:8" ht="24" x14ac:dyDescent="0.55000000000000004">
      <c r="A37"/>
      <c r="B37"/>
      <c r="C37"/>
      <c r="D37"/>
      <c r="E37"/>
      <c r="F37"/>
      <c r="G37"/>
      <c r="H37"/>
    </row>
    <row r="38" spans="1:8" ht="24" x14ac:dyDescent="0.55000000000000004">
      <c r="A38"/>
      <c r="B38"/>
      <c r="C38"/>
      <c r="D38"/>
      <c r="E38"/>
      <c r="F38"/>
      <c r="G38"/>
      <c r="H38"/>
    </row>
    <row r="39" spans="1:8" ht="24" x14ac:dyDescent="0.55000000000000004">
      <c r="A39"/>
      <c r="B39"/>
      <c r="C39"/>
      <c r="D39"/>
      <c r="E39"/>
      <c r="F39"/>
      <c r="G39"/>
      <c r="H39"/>
    </row>
    <row r="40" spans="1:8" ht="24" x14ac:dyDescent="0.55000000000000004">
      <c r="A40"/>
      <c r="B40"/>
      <c r="C40"/>
      <c r="D40"/>
      <c r="E40"/>
      <c r="F40"/>
      <c r="G40"/>
      <c r="H40"/>
    </row>
    <row r="41" spans="1:8" ht="24" x14ac:dyDescent="0.55000000000000004">
      <c r="A41"/>
      <c r="B41"/>
      <c r="C41"/>
      <c r="D41"/>
      <c r="E41"/>
      <c r="F41"/>
      <c r="G41"/>
      <c r="H41"/>
    </row>
    <row r="42" spans="1:8" ht="24" x14ac:dyDescent="0.55000000000000004">
      <c r="A42"/>
      <c r="B42"/>
      <c r="C42"/>
      <c r="D42"/>
      <c r="E42"/>
      <c r="F42"/>
      <c r="G42"/>
      <c r="H42"/>
    </row>
    <row r="43" spans="1:8" ht="24" x14ac:dyDescent="0.55000000000000004">
      <c r="A43"/>
      <c r="B43"/>
      <c r="C43"/>
      <c r="D43"/>
      <c r="E43"/>
      <c r="F43"/>
      <c r="G43"/>
      <c r="H43"/>
    </row>
    <row r="44" spans="1:8" ht="24" x14ac:dyDescent="0.55000000000000004">
      <c r="A44"/>
      <c r="B44"/>
      <c r="C44"/>
      <c r="D44"/>
      <c r="E44"/>
      <c r="F44"/>
      <c r="G44"/>
      <c r="H44"/>
    </row>
    <row r="45" spans="1:8" ht="24" x14ac:dyDescent="0.55000000000000004">
      <c r="A45"/>
      <c r="B45"/>
      <c r="C45"/>
      <c r="D45"/>
      <c r="E45"/>
      <c r="F45"/>
      <c r="G45"/>
      <c r="H45"/>
    </row>
    <row r="46" spans="1:8" ht="24" x14ac:dyDescent="0.55000000000000004">
      <c r="A46"/>
      <c r="B46"/>
      <c r="C46"/>
      <c r="D46"/>
      <c r="E46"/>
      <c r="F46"/>
      <c r="G46"/>
      <c r="H46"/>
    </row>
    <row r="47" spans="1:8" ht="24" x14ac:dyDescent="0.55000000000000004">
      <c r="A47"/>
      <c r="B47"/>
      <c r="C47"/>
      <c r="D47"/>
      <c r="E47"/>
      <c r="F47"/>
      <c r="G47"/>
      <c r="H47"/>
    </row>
    <row r="48" spans="1:8" ht="24" x14ac:dyDescent="0.55000000000000004">
      <c r="A48"/>
      <c r="B48"/>
      <c r="C48"/>
      <c r="D48"/>
      <c r="E48"/>
      <c r="F48"/>
      <c r="G48"/>
      <c r="H48"/>
    </row>
    <row r="49" spans="1:8" ht="24" x14ac:dyDescent="0.55000000000000004">
      <c r="A49"/>
      <c r="B49"/>
      <c r="C49"/>
      <c r="D49"/>
      <c r="E49"/>
      <c r="F49"/>
      <c r="G49"/>
      <c r="H49"/>
    </row>
    <row r="50" spans="1:8" ht="24" x14ac:dyDescent="0.55000000000000004">
      <c r="A50"/>
      <c r="B50"/>
      <c r="C50"/>
      <c r="D50"/>
      <c r="E50"/>
      <c r="F50"/>
      <c r="G50"/>
      <c r="H50"/>
    </row>
    <row r="51" spans="1:8" ht="24" x14ac:dyDescent="0.55000000000000004">
      <c r="A51"/>
      <c r="B51"/>
      <c r="C51"/>
      <c r="D51"/>
      <c r="E51"/>
      <c r="F51"/>
      <c r="G51"/>
      <c r="H51"/>
    </row>
  </sheetData>
  <sortState xmlns:xlrd2="http://schemas.microsoft.com/office/spreadsheetml/2017/richdata2" ref="A2:H48">
    <sortCondition ref="A2:A48"/>
  </sortState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AD33"/>
  <sheetViews>
    <sheetView showGridLines="0" zoomScaleNormal="100" workbookViewId="0">
      <selection activeCell="C15" sqref="C14:C15"/>
    </sheetView>
  </sheetViews>
  <sheetFormatPr defaultColWidth="8.7109375" defaultRowHeight="15" x14ac:dyDescent="0.25"/>
  <cols>
    <col min="1" max="3" width="32" customWidth="1"/>
    <col min="4" max="4" width="74.85546875" customWidth="1"/>
    <col min="5" max="5" width="14" customWidth="1"/>
    <col min="6" max="7" width="23" customWidth="1"/>
    <col min="8" max="8" width="18.140625" customWidth="1"/>
    <col min="9" max="9" width="19.42578125" customWidth="1"/>
    <col min="10" max="10" width="16" customWidth="1"/>
    <col min="11" max="11" width="15.7109375" customWidth="1"/>
    <col min="12" max="12" width="18.42578125" customWidth="1"/>
    <col min="18" max="29" width="16.140625" customWidth="1"/>
  </cols>
  <sheetData>
    <row r="1" spans="1:30" ht="24" customHeight="1" x14ac:dyDescent="0.55000000000000004">
      <c r="A1" s="34" t="s">
        <v>313</v>
      </c>
      <c r="B1" s="34" t="s">
        <v>314</v>
      </c>
      <c r="C1" s="35" t="s">
        <v>315</v>
      </c>
      <c r="D1" s="35" t="s">
        <v>316</v>
      </c>
      <c r="E1" s="36"/>
      <c r="F1" s="24" t="s">
        <v>317</v>
      </c>
      <c r="G1" s="35" t="s">
        <v>318</v>
      </c>
      <c r="H1" s="35" t="s">
        <v>319</v>
      </c>
      <c r="I1" s="35" t="s">
        <v>320</v>
      </c>
      <c r="J1" s="35" t="s">
        <v>321</v>
      </c>
      <c r="K1" s="35" t="s">
        <v>322</v>
      </c>
      <c r="L1" s="35" t="s">
        <v>323</v>
      </c>
      <c r="M1" s="25"/>
      <c r="N1" s="25"/>
      <c r="O1" s="25"/>
      <c r="P1" s="25"/>
      <c r="Q1" s="25"/>
      <c r="R1" s="24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 ht="24" customHeight="1" x14ac:dyDescent="0.55000000000000004">
      <c r="A2" s="34" t="s">
        <v>78</v>
      </c>
      <c r="B2" s="35" t="s">
        <v>324</v>
      </c>
      <c r="C2" s="35" t="s">
        <v>325</v>
      </c>
      <c r="D2" s="35" t="s">
        <v>326</v>
      </c>
      <c r="E2" s="36"/>
      <c r="F2" s="24" t="s">
        <v>84</v>
      </c>
      <c r="G2" s="37" t="s">
        <v>86</v>
      </c>
      <c r="H2" s="37" t="s">
        <v>88</v>
      </c>
      <c r="I2" s="37" t="s">
        <v>94</v>
      </c>
      <c r="J2" s="37" t="s">
        <v>96</v>
      </c>
      <c r="K2" s="37" t="s">
        <v>100</v>
      </c>
      <c r="L2" s="37" t="s">
        <v>68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24" customHeight="1" x14ac:dyDescent="0.55000000000000004">
      <c r="A3" s="1" t="s">
        <v>327</v>
      </c>
      <c r="B3" s="1" t="s">
        <v>328</v>
      </c>
      <c r="C3" s="1" t="s">
        <v>329</v>
      </c>
      <c r="D3" s="26" t="s">
        <v>330</v>
      </c>
      <c r="E3" s="1"/>
      <c r="F3" s="27" t="s">
        <v>331</v>
      </c>
      <c r="G3" s="27" t="s">
        <v>332</v>
      </c>
      <c r="H3" s="27" t="s">
        <v>333</v>
      </c>
      <c r="I3" s="27" t="s">
        <v>334</v>
      </c>
      <c r="J3" s="27" t="s">
        <v>335</v>
      </c>
      <c r="K3" s="27" t="s">
        <v>336</v>
      </c>
      <c r="L3" s="27" t="s">
        <v>337</v>
      </c>
    </row>
    <row r="4" spans="1:30" ht="24" customHeight="1" x14ac:dyDescent="0.55000000000000004">
      <c r="A4" s="1" t="s">
        <v>327</v>
      </c>
      <c r="B4" s="1" t="s">
        <v>328</v>
      </c>
      <c r="C4" s="1" t="s">
        <v>338</v>
      </c>
      <c r="D4" s="26" t="s">
        <v>339</v>
      </c>
      <c r="E4" s="1"/>
      <c r="F4" s="27" t="s">
        <v>340</v>
      </c>
      <c r="G4" s="27" t="s">
        <v>341</v>
      </c>
      <c r="H4" s="27" t="s">
        <v>342</v>
      </c>
      <c r="I4" s="27" t="s">
        <v>343</v>
      </c>
      <c r="J4" s="27" t="s">
        <v>344</v>
      </c>
      <c r="K4" s="27" t="s">
        <v>345</v>
      </c>
      <c r="L4" s="27" t="s">
        <v>346</v>
      </c>
    </row>
    <row r="5" spans="1:30" ht="24" customHeight="1" x14ac:dyDescent="0.55000000000000004">
      <c r="A5" s="1" t="s">
        <v>327</v>
      </c>
      <c r="B5" s="1" t="s">
        <v>328</v>
      </c>
      <c r="C5" s="1" t="s">
        <v>347</v>
      </c>
      <c r="D5" s="26" t="s">
        <v>348</v>
      </c>
      <c r="E5" s="1"/>
      <c r="F5" s="27" t="s">
        <v>349</v>
      </c>
      <c r="G5" s="27" t="s">
        <v>350</v>
      </c>
      <c r="H5" s="27" t="s">
        <v>351</v>
      </c>
      <c r="I5" s="27" t="s">
        <v>352</v>
      </c>
      <c r="J5" s="27" t="s">
        <v>353</v>
      </c>
      <c r="K5" s="27" t="s">
        <v>354</v>
      </c>
      <c r="L5" s="27"/>
    </row>
    <row r="6" spans="1:30" ht="24" customHeight="1" x14ac:dyDescent="0.55000000000000004">
      <c r="A6" s="1" t="s">
        <v>327</v>
      </c>
      <c r="B6" s="1" t="s">
        <v>328</v>
      </c>
      <c r="C6" s="1" t="s">
        <v>355</v>
      </c>
      <c r="D6" s="26" t="s">
        <v>356</v>
      </c>
      <c r="E6" s="1"/>
      <c r="F6" s="27" t="s">
        <v>357</v>
      </c>
      <c r="G6" s="27" t="s">
        <v>358</v>
      </c>
      <c r="I6" s="27" t="s">
        <v>359</v>
      </c>
      <c r="J6" s="27" t="s">
        <v>360</v>
      </c>
      <c r="K6" s="27" t="s">
        <v>361</v>
      </c>
      <c r="L6" s="27"/>
    </row>
    <row r="7" spans="1:30" ht="24" customHeight="1" x14ac:dyDescent="0.55000000000000004">
      <c r="A7" s="1" t="s">
        <v>327</v>
      </c>
      <c r="B7" s="1" t="s">
        <v>328</v>
      </c>
      <c r="C7" s="1" t="s">
        <v>362</v>
      </c>
      <c r="D7" s="26" t="s">
        <v>363</v>
      </c>
      <c r="E7" s="1"/>
      <c r="F7" s="27" t="s">
        <v>364</v>
      </c>
      <c r="G7" s="27" t="s">
        <v>365</v>
      </c>
      <c r="I7" s="27" t="s">
        <v>366</v>
      </c>
      <c r="J7" s="27" t="s">
        <v>367</v>
      </c>
      <c r="K7" s="27" t="s">
        <v>368</v>
      </c>
      <c r="L7" s="27"/>
    </row>
    <row r="8" spans="1:30" ht="24" customHeight="1" x14ac:dyDescent="0.55000000000000004">
      <c r="A8" s="1" t="s">
        <v>327</v>
      </c>
      <c r="B8" s="1" t="s">
        <v>328</v>
      </c>
      <c r="C8" s="1" t="s">
        <v>369</v>
      </c>
      <c r="D8" s="26" t="s">
        <v>370</v>
      </c>
      <c r="E8" s="1"/>
      <c r="F8" s="27" t="s">
        <v>371</v>
      </c>
      <c r="G8" s="27" t="s">
        <v>372</v>
      </c>
      <c r="I8" s="27" t="s">
        <v>373</v>
      </c>
      <c r="J8" s="27" t="s">
        <v>374</v>
      </c>
      <c r="K8" s="27" t="s">
        <v>375</v>
      </c>
      <c r="L8" s="27"/>
    </row>
    <row r="9" spans="1:30" ht="24" customHeight="1" x14ac:dyDescent="0.55000000000000004">
      <c r="A9" s="1" t="s">
        <v>327</v>
      </c>
      <c r="B9" s="1" t="s">
        <v>376</v>
      </c>
      <c r="C9" s="1" t="s">
        <v>377</v>
      </c>
      <c r="D9" s="26" t="s">
        <v>378</v>
      </c>
      <c r="E9" s="1"/>
      <c r="F9" s="27" t="s">
        <v>379</v>
      </c>
      <c r="G9" s="27" t="s">
        <v>380</v>
      </c>
      <c r="I9" s="27" t="s">
        <v>381</v>
      </c>
      <c r="J9" s="27" t="s">
        <v>382</v>
      </c>
      <c r="K9" s="27" t="s">
        <v>383</v>
      </c>
    </row>
    <row r="10" spans="1:30" ht="24" customHeight="1" x14ac:dyDescent="0.55000000000000004">
      <c r="A10" s="1" t="s">
        <v>327</v>
      </c>
      <c r="B10" s="1" t="s">
        <v>384</v>
      </c>
      <c r="C10" s="1" t="s">
        <v>385</v>
      </c>
      <c r="D10" s="26" t="s">
        <v>386</v>
      </c>
      <c r="E10" s="1"/>
      <c r="F10" s="27" t="s">
        <v>387</v>
      </c>
      <c r="I10" s="27" t="s">
        <v>388</v>
      </c>
      <c r="J10" s="27" t="s">
        <v>389</v>
      </c>
      <c r="K10" s="27" t="s">
        <v>390</v>
      </c>
    </row>
    <row r="11" spans="1:30" ht="24" customHeight="1" x14ac:dyDescent="0.55000000000000004">
      <c r="A11" s="1" t="s">
        <v>327</v>
      </c>
      <c r="B11" s="1" t="s">
        <v>384</v>
      </c>
      <c r="C11" s="1" t="s">
        <v>391</v>
      </c>
      <c r="D11" s="26" t="s">
        <v>392</v>
      </c>
      <c r="E11" s="1"/>
      <c r="F11" s="27" t="s">
        <v>393</v>
      </c>
      <c r="G11" s="27"/>
      <c r="I11" s="43" t="s">
        <v>394</v>
      </c>
      <c r="J11" s="27" t="s">
        <v>395</v>
      </c>
      <c r="K11" s="27" t="s">
        <v>396</v>
      </c>
    </row>
    <row r="12" spans="1:30" ht="24" customHeight="1" x14ac:dyDescent="0.55000000000000004">
      <c r="A12" s="1" t="s">
        <v>327</v>
      </c>
      <c r="B12" s="1" t="s">
        <v>384</v>
      </c>
      <c r="C12" s="1" t="s">
        <v>397</v>
      </c>
      <c r="D12" s="26" t="s">
        <v>398</v>
      </c>
      <c r="E12" s="1"/>
      <c r="F12" s="27" t="s">
        <v>399</v>
      </c>
      <c r="G12" s="27"/>
      <c r="J12" s="27" t="s">
        <v>400</v>
      </c>
      <c r="K12" s="27" t="s">
        <v>401</v>
      </c>
    </row>
    <row r="13" spans="1:30" ht="24" customHeight="1" x14ac:dyDescent="0.55000000000000004">
      <c r="A13" s="1" t="s">
        <v>327</v>
      </c>
      <c r="B13" s="1" t="s">
        <v>402</v>
      </c>
      <c r="C13" s="1" t="s">
        <v>403</v>
      </c>
      <c r="D13" s="26" t="s">
        <v>404</v>
      </c>
      <c r="E13" s="1"/>
      <c r="G13" s="27"/>
    </row>
    <row r="14" spans="1:30" ht="24" customHeight="1" x14ac:dyDescent="0.55000000000000004">
      <c r="A14" s="1" t="s">
        <v>327</v>
      </c>
      <c r="B14" s="1" t="s">
        <v>405</v>
      </c>
      <c r="C14" s="1" t="s">
        <v>406</v>
      </c>
      <c r="D14" s="26" t="s">
        <v>407</v>
      </c>
    </row>
    <row r="15" spans="1:30" ht="24" customHeight="1" x14ac:dyDescent="0.55000000000000004">
      <c r="A15" s="1" t="s">
        <v>327</v>
      </c>
      <c r="B15" s="1" t="s">
        <v>408</v>
      </c>
      <c r="C15" s="1" t="s">
        <v>409</v>
      </c>
      <c r="D15" s="26" t="s">
        <v>410</v>
      </c>
      <c r="E15" s="1"/>
    </row>
    <row r="16" spans="1:30" ht="24" customHeight="1" x14ac:dyDescent="0.55000000000000004">
      <c r="A16" s="1" t="s">
        <v>411</v>
      </c>
      <c r="B16" s="1" t="s">
        <v>412</v>
      </c>
      <c r="C16" s="1" t="s">
        <v>413</v>
      </c>
      <c r="D16" s="26" t="s">
        <v>414</v>
      </c>
      <c r="E16" s="1"/>
    </row>
    <row r="17" spans="1:5" ht="24" customHeight="1" x14ac:dyDescent="0.55000000000000004">
      <c r="A17" s="1" t="s">
        <v>411</v>
      </c>
      <c r="B17" s="1" t="s">
        <v>415</v>
      </c>
      <c r="C17" s="1" t="s">
        <v>416</v>
      </c>
      <c r="D17" s="26" t="s">
        <v>417</v>
      </c>
      <c r="E17" s="1"/>
    </row>
    <row r="18" spans="1:5" ht="24" customHeight="1" x14ac:dyDescent="0.55000000000000004">
      <c r="A18" s="1" t="s">
        <v>418</v>
      </c>
      <c r="B18" s="1" t="s">
        <v>419</v>
      </c>
      <c r="C18" s="1" t="s">
        <v>420</v>
      </c>
      <c r="D18" s="26" t="s">
        <v>421</v>
      </c>
      <c r="E18" s="1"/>
    </row>
    <row r="19" spans="1:5" ht="24" customHeight="1" x14ac:dyDescent="0.55000000000000004">
      <c r="A19" s="1" t="s">
        <v>422</v>
      </c>
      <c r="B19" s="1" t="s">
        <v>422</v>
      </c>
      <c r="C19" s="1" t="s">
        <v>423</v>
      </c>
      <c r="D19" s="26" t="s">
        <v>424</v>
      </c>
    </row>
    <row r="20" spans="1:5" ht="24" customHeight="1" x14ac:dyDescent="0.55000000000000004">
      <c r="A20" s="1"/>
      <c r="B20" s="1"/>
      <c r="C20" s="1"/>
      <c r="D20" s="26"/>
    </row>
    <row r="23" spans="1:5" ht="24" customHeight="1" x14ac:dyDescent="0.25">
      <c r="A23" s="27"/>
      <c r="B23" s="27"/>
      <c r="C23" s="28"/>
    </row>
    <row r="24" spans="1:5" ht="24" customHeight="1" x14ac:dyDescent="0.25">
      <c r="A24" s="27"/>
      <c r="B24" s="27"/>
      <c r="C24" s="28"/>
    </row>
    <row r="25" spans="1:5" ht="24" customHeight="1" x14ac:dyDescent="0.25">
      <c r="A25" s="27"/>
      <c r="B25" s="27"/>
      <c r="C25" s="28"/>
    </row>
    <row r="26" spans="1:5" ht="24" customHeight="1" x14ac:dyDescent="0.25">
      <c r="A26" s="27"/>
      <c r="B26" s="27"/>
      <c r="C26" s="28"/>
    </row>
    <row r="27" spans="1:5" ht="24" customHeight="1" x14ac:dyDescent="0.25">
      <c r="A27" s="27"/>
      <c r="B27" s="27"/>
      <c r="C27" s="28"/>
    </row>
    <row r="28" spans="1:5" ht="24" customHeight="1" x14ac:dyDescent="0.25">
      <c r="A28" s="27"/>
      <c r="B28" s="27"/>
      <c r="C28" s="28"/>
    </row>
    <row r="29" spans="1:5" ht="24" customHeight="1" x14ac:dyDescent="0.25">
      <c r="A29" s="27"/>
      <c r="B29" s="27"/>
      <c r="C29" s="27"/>
    </row>
    <row r="30" spans="1:5" ht="24" customHeight="1" x14ac:dyDescent="0.25">
      <c r="A30" s="27"/>
      <c r="B30" s="27"/>
      <c r="C30" s="27"/>
    </row>
    <row r="31" spans="1:5" ht="24" customHeight="1" x14ac:dyDescent="0.25">
      <c r="B31" s="27"/>
      <c r="C31" s="27"/>
    </row>
    <row r="32" spans="1:5" ht="24" customHeight="1" x14ac:dyDescent="0.25">
      <c r="B32" s="27"/>
      <c r="C32" s="27"/>
    </row>
    <row r="33" spans="3:3" ht="24" customHeight="1" x14ac:dyDescent="0.25">
      <c r="C33" s="2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V139"/>
  <sheetViews>
    <sheetView zoomScale="119" zoomScaleNormal="119" workbookViewId="0">
      <pane ySplit="1" topLeftCell="A2" activePane="bottomLeft" state="frozen"/>
      <selection pane="bottomLeft" activeCell="B1" sqref="B1"/>
    </sheetView>
  </sheetViews>
  <sheetFormatPr defaultColWidth="10.85546875" defaultRowHeight="20.25" customHeight="1" x14ac:dyDescent="0.55000000000000004"/>
  <cols>
    <col min="1" max="1" width="14.7109375" style="1" customWidth="1"/>
    <col min="2" max="2" width="14.28515625" style="1" customWidth="1"/>
    <col min="3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435</v>
      </c>
      <c r="B2" s="1" t="s">
        <v>436</v>
      </c>
      <c r="C2" s="1" t="s">
        <v>327</v>
      </c>
      <c r="D2" s="1" t="s">
        <v>402</v>
      </c>
      <c r="E2" s="1" t="s">
        <v>403</v>
      </c>
      <c r="F2" s="1" t="s">
        <v>437</v>
      </c>
      <c r="G2" s="1" t="s">
        <v>380</v>
      </c>
      <c r="H2" s="1" t="s">
        <v>333</v>
      </c>
      <c r="I2" s="1" t="s">
        <v>438</v>
      </c>
      <c r="J2" s="1" t="s">
        <v>439</v>
      </c>
      <c r="K2" s="1" t="s">
        <v>440</v>
      </c>
      <c r="L2" s="1" t="s">
        <v>353</v>
      </c>
      <c r="M2" s="1" t="s">
        <v>441</v>
      </c>
      <c r="N2" s="1" t="s">
        <v>368</v>
      </c>
      <c r="O2" s="1" t="s">
        <v>122</v>
      </c>
      <c r="P2" s="1" t="s">
        <v>136</v>
      </c>
      <c r="Q2" s="1" t="s">
        <v>123</v>
      </c>
      <c r="R2" s="1" t="s">
        <v>442</v>
      </c>
      <c r="S2" s="40" t="s">
        <v>134</v>
      </c>
      <c r="T2" s="40" t="s">
        <v>135</v>
      </c>
      <c r="U2" s="40" t="s">
        <v>122</v>
      </c>
      <c r="V2" s="40"/>
    </row>
    <row r="3" spans="1:22" ht="24" x14ac:dyDescent="0.55000000000000004">
      <c r="A3" s="1" t="s">
        <v>443</v>
      </c>
      <c r="B3" s="1" t="s">
        <v>444</v>
      </c>
      <c r="C3" s="1" t="s">
        <v>327</v>
      </c>
      <c r="D3" s="1" t="s">
        <v>402</v>
      </c>
      <c r="E3" s="1" t="s">
        <v>403</v>
      </c>
      <c r="F3" s="1" t="s">
        <v>445</v>
      </c>
      <c r="G3" s="1" t="s">
        <v>380</v>
      </c>
      <c r="H3" s="1" t="s">
        <v>446</v>
      </c>
      <c r="I3" s="1" t="s">
        <v>447</v>
      </c>
      <c r="J3" s="1" t="s">
        <v>448</v>
      </c>
      <c r="K3" s="1" t="s">
        <v>440</v>
      </c>
      <c r="L3" s="1" t="s">
        <v>353</v>
      </c>
      <c r="M3" s="1" t="s">
        <v>441</v>
      </c>
      <c r="N3" s="1" t="s">
        <v>368</v>
      </c>
      <c r="O3" s="1" t="s">
        <v>122</v>
      </c>
      <c r="P3" s="1" t="s">
        <v>136</v>
      </c>
      <c r="Q3" s="1" t="s">
        <v>449</v>
      </c>
      <c r="R3" s="1" t="s">
        <v>450</v>
      </c>
      <c r="S3" s="40" t="s">
        <v>134</v>
      </c>
      <c r="T3" s="40" t="s">
        <v>135</v>
      </c>
      <c r="U3" s="40" t="s">
        <v>122</v>
      </c>
      <c r="V3" s="40"/>
    </row>
    <row r="4" spans="1:22" ht="24" x14ac:dyDescent="0.55000000000000004">
      <c r="A4" s="1" t="s">
        <v>451</v>
      </c>
      <c r="B4" s="1" t="s">
        <v>452</v>
      </c>
      <c r="C4" s="1" t="s">
        <v>327</v>
      </c>
      <c r="D4" s="1" t="s">
        <v>402</v>
      </c>
      <c r="E4" s="1" t="s">
        <v>403</v>
      </c>
      <c r="F4" s="1" t="s">
        <v>453</v>
      </c>
      <c r="G4" s="1" t="s">
        <v>380</v>
      </c>
      <c r="H4" s="1" t="s">
        <v>446</v>
      </c>
      <c r="I4" s="1" t="s">
        <v>454</v>
      </c>
      <c r="J4" s="1" t="s">
        <v>439</v>
      </c>
      <c r="K4" s="1" t="s">
        <v>440</v>
      </c>
      <c r="L4" s="1" t="s">
        <v>353</v>
      </c>
      <c r="M4" s="1" t="s">
        <v>441</v>
      </c>
      <c r="N4" s="1" t="s">
        <v>368</v>
      </c>
      <c r="O4" s="1" t="s">
        <v>122</v>
      </c>
      <c r="P4" s="1" t="s">
        <v>136</v>
      </c>
      <c r="Q4" s="1" t="s">
        <v>123</v>
      </c>
      <c r="R4" s="1" t="s">
        <v>455</v>
      </c>
      <c r="S4" s="40" t="s">
        <v>134</v>
      </c>
      <c r="T4" s="40" t="s">
        <v>135</v>
      </c>
      <c r="U4" s="40" t="s">
        <v>122</v>
      </c>
      <c r="V4" s="40"/>
    </row>
    <row r="5" spans="1:22" ht="24" x14ac:dyDescent="0.55000000000000004">
      <c r="A5" s="1" t="s">
        <v>456</v>
      </c>
      <c r="B5" s="1" t="s">
        <v>457</v>
      </c>
      <c r="C5" s="1" t="s">
        <v>327</v>
      </c>
      <c r="D5" s="1" t="s">
        <v>402</v>
      </c>
      <c r="E5" s="1" t="s">
        <v>403</v>
      </c>
      <c r="F5" s="1" t="s">
        <v>458</v>
      </c>
      <c r="G5" s="1" t="s">
        <v>380</v>
      </c>
      <c r="H5" s="1" t="s">
        <v>446</v>
      </c>
      <c r="I5" s="1" t="s">
        <v>454</v>
      </c>
      <c r="J5" s="1" t="s">
        <v>459</v>
      </c>
      <c r="K5" s="1" t="s">
        <v>440</v>
      </c>
      <c r="L5" s="1" t="s">
        <v>353</v>
      </c>
      <c r="M5" s="1" t="s">
        <v>441</v>
      </c>
      <c r="N5" s="1" t="s">
        <v>368</v>
      </c>
      <c r="O5" s="1" t="s">
        <v>122</v>
      </c>
      <c r="P5" s="1" t="s">
        <v>136</v>
      </c>
      <c r="Q5" s="1" t="s">
        <v>123</v>
      </c>
      <c r="R5" s="1" t="s">
        <v>460</v>
      </c>
      <c r="S5" s="40" t="s">
        <v>134</v>
      </c>
      <c r="T5" s="40" t="s">
        <v>135</v>
      </c>
      <c r="U5" s="40" t="s">
        <v>122</v>
      </c>
      <c r="V5" s="40"/>
    </row>
    <row r="6" spans="1:22" ht="24" x14ac:dyDescent="0.55000000000000004">
      <c r="A6" s="1" t="s">
        <v>461</v>
      </c>
      <c r="B6" s="1" t="s">
        <v>462</v>
      </c>
      <c r="C6" s="1" t="s">
        <v>327</v>
      </c>
      <c r="D6" s="1" t="s">
        <v>402</v>
      </c>
      <c r="E6" s="1" t="s">
        <v>403</v>
      </c>
      <c r="F6" s="1" t="s">
        <v>463</v>
      </c>
      <c r="G6" s="1" t="s">
        <v>380</v>
      </c>
      <c r="H6" s="1" t="s">
        <v>446</v>
      </c>
      <c r="I6" s="1" t="s">
        <v>454</v>
      </c>
      <c r="J6" s="1" t="s">
        <v>459</v>
      </c>
      <c r="K6" s="1" t="s">
        <v>440</v>
      </c>
      <c r="L6" s="1" t="s">
        <v>353</v>
      </c>
      <c r="M6" s="1" t="s">
        <v>441</v>
      </c>
      <c r="N6" s="1" t="s">
        <v>368</v>
      </c>
      <c r="O6" s="1" t="s">
        <v>122</v>
      </c>
      <c r="P6" s="1" t="s">
        <v>136</v>
      </c>
      <c r="Q6" s="1" t="s">
        <v>123</v>
      </c>
      <c r="R6" s="1" t="s">
        <v>464</v>
      </c>
      <c r="S6" s="40" t="s">
        <v>134</v>
      </c>
      <c r="T6" s="40" t="s">
        <v>135</v>
      </c>
      <c r="U6" s="40" t="s">
        <v>122</v>
      </c>
      <c r="V6" s="40"/>
    </row>
    <row r="7" spans="1:22" ht="24" x14ac:dyDescent="0.55000000000000004">
      <c r="A7" s="1" t="s">
        <v>465</v>
      </c>
      <c r="B7" s="1" t="s">
        <v>466</v>
      </c>
      <c r="C7" s="1" t="s">
        <v>327</v>
      </c>
      <c r="D7" s="1" t="s">
        <v>402</v>
      </c>
      <c r="E7" s="1" t="s">
        <v>403</v>
      </c>
      <c r="F7" s="1" t="s">
        <v>467</v>
      </c>
      <c r="G7" s="1" t="s">
        <v>380</v>
      </c>
      <c r="H7" s="1" t="s">
        <v>446</v>
      </c>
      <c r="I7" s="1" t="s">
        <v>454</v>
      </c>
      <c r="J7" s="1" t="s">
        <v>459</v>
      </c>
      <c r="K7" s="1" t="s">
        <v>440</v>
      </c>
      <c r="L7" s="1" t="s">
        <v>353</v>
      </c>
      <c r="M7" s="1" t="s">
        <v>441</v>
      </c>
      <c r="N7" s="1" t="s">
        <v>368</v>
      </c>
      <c r="O7" s="1" t="s">
        <v>122</v>
      </c>
      <c r="P7" s="1" t="s">
        <v>136</v>
      </c>
      <c r="Q7" s="1" t="s">
        <v>123</v>
      </c>
      <c r="R7" s="1" t="s">
        <v>468</v>
      </c>
      <c r="S7" s="40" t="s">
        <v>134</v>
      </c>
      <c r="T7" s="40" t="s">
        <v>135</v>
      </c>
      <c r="U7" s="40" t="s">
        <v>122</v>
      </c>
      <c r="V7" s="40"/>
    </row>
    <row r="8" spans="1:22" ht="24" x14ac:dyDescent="0.55000000000000004">
      <c r="A8" s="1" t="s">
        <v>469</v>
      </c>
      <c r="B8" s="1" t="s">
        <v>470</v>
      </c>
      <c r="C8" s="1" t="s">
        <v>327</v>
      </c>
      <c r="D8" s="1" t="s">
        <v>402</v>
      </c>
      <c r="E8" s="1" t="s">
        <v>403</v>
      </c>
      <c r="F8" s="1" t="s">
        <v>445</v>
      </c>
      <c r="G8" s="1" t="s">
        <v>380</v>
      </c>
      <c r="H8" s="1" t="s">
        <v>446</v>
      </c>
      <c r="I8" s="1" t="s">
        <v>454</v>
      </c>
      <c r="J8" s="1" t="s">
        <v>448</v>
      </c>
      <c r="K8" s="1" t="s">
        <v>440</v>
      </c>
      <c r="L8" s="1" t="s">
        <v>353</v>
      </c>
      <c r="M8" s="1" t="s">
        <v>441</v>
      </c>
      <c r="N8" s="1" t="s">
        <v>368</v>
      </c>
      <c r="O8" s="1" t="s">
        <v>122</v>
      </c>
      <c r="P8" s="1" t="s">
        <v>136</v>
      </c>
      <c r="Q8" s="1" t="s">
        <v>123</v>
      </c>
      <c r="R8" s="1" t="s">
        <v>471</v>
      </c>
      <c r="S8" s="40" t="s">
        <v>134</v>
      </c>
      <c r="T8" s="40" t="s">
        <v>135</v>
      </c>
      <c r="U8" s="40" t="s">
        <v>122</v>
      </c>
      <c r="V8" s="40"/>
    </row>
    <row r="9" spans="1:22" ht="24" x14ac:dyDescent="0.55000000000000004">
      <c r="A9" s="1" t="s">
        <v>472</v>
      </c>
      <c r="B9" s="1" t="s">
        <v>473</v>
      </c>
      <c r="C9" s="1" t="s">
        <v>327</v>
      </c>
      <c r="D9" s="1" t="s">
        <v>402</v>
      </c>
      <c r="E9" s="1" t="s">
        <v>403</v>
      </c>
      <c r="F9" s="1" t="s">
        <v>453</v>
      </c>
      <c r="G9" s="1" t="s">
        <v>380</v>
      </c>
      <c r="H9" s="1" t="s">
        <v>446</v>
      </c>
      <c r="I9" s="1" t="s">
        <v>474</v>
      </c>
      <c r="J9" s="1" t="s">
        <v>439</v>
      </c>
      <c r="K9" s="1" t="s">
        <v>440</v>
      </c>
      <c r="L9" s="1" t="s">
        <v>353</v>
      </c>
      <c r="M9" s="1" t="s">
        <v>475</v>
      </c>
      <c r="N9" s="1" t="s">
        <v>368</v>
      </c>
      <c r="O9" s="1" t="s">
        <v>122</v>
      </c>
      <c r="P9" s="1" t="s">
        <v>136</v>
      </c>
      <c r="Q9" s="1" t="s">
        <v>123</v>
      </c>
      <c r="R9" s="1" t="s">
        <v>476</v>
      </c>
      <c r="S9" s="40" t="s">
        <v>134</v>
      </c>
      <c r="T9" s="40" t="s">
        <v>135</v>
      </c>
      <c r="U9" s="40" t="s">
        <v>122</v>
      </c>
      <c r="V9" s="40"/>
    </row>
    <row r="10" spans="1:22" ht="24" x14ac:dyDescent="0.55000000000000004">
      <c r="A10" s="1" t="s">
        <v>477</v>
      </c>
      <c r="B10" s="1" t="s">
        <v>478</v>
      </c>
      <c r="C10" s="1" t="s">
        <v>327</v>
      </c>
      <c r="D10" s="1" t="s">
        <v>402</v>
      </c>
      <c r="E10" s="1" t="s">
        <v>403</v>
      </c>
      <c r="F10" s="1" t="s">
        <v>458</v>
      </c>
      <c r="G10" s="1" t="s">
        <v>380</v>
      </c>
      <c r="H10" s="1" t="s">
        <v>446</v>
      </c>
      <c r="I10" s="1" t="s">
        <v>474</v>
      </c>
      <c r="J10" s="1" t="s">
        <v>459</v>
      </c>
      <c r="K10" s="1" t="s">
        <v>440</v>
      </c>
      <c r="L10" s="1" t="s">
        <v>353</v>
      </c>
      <c r="M10" s="1" t="s">
        <v>475</v>
      </c>
      <c r="N10" s="1" t="s">
        <v>368</v>
      </c>
      <c r="O10" s="1" t="s">
        <v>122</v>
      </c>
      <c r="P10" s="1" t="s">
        <v>136</v>
      </c>
      <c r="Q10" s="1" t="s">
        <v>123</v>
      </c>
      <c r="R10" s="1" t="s">
        <v>479</v>
      </c>
      <c r="S10" s="40" t="s">
        <v>134</v>
      </c>
      <c r="T10" s="40" t="s">
        <v>135</v>
      </c>
      <c r="U10" s="40" t="s">
        <v>122</v>
      </c>
      <c r="V10" s="40"/>
    </row>
    <row r="11" spans="1:22" ht="24" x14ac:dyDescent="0.55000000000000004">
      <c r="A11" s="1" t="s">
        <v>480</v>
      </c>
      <c r="B11" s="1" t="s">
        <v>481</v>
      </c>
      <c r="C11" s="1" t="s">
        <v>327</v>
      </c>
      <c r="D11" s="1" t="s">
        <v>402</v>
      </c>
      <c r="E11" s="1" t="s">
        <v>403</v>
      </c>
      <c r="F11" s="1" t="s">
        <v>463</v>
      </c>
      <c r="G11" s="1" t="s">
        <v>380</v>
      </c>
      <c r="H11" s="1" t="s">
        <v>446</v>
      </c>
      <c r="I11" s="1" t="s">
        <v>474</v>
      </c>
      <c r="J11" s="1" t="s">
        <v>459</v>
      </c>
      <c r="K11" s="1" t="s">
        <v>440</v>
      </c>
      <c r="L11" s="1" t="s">
        <v>353</v>
      </c>
      <c r="M11" s="1" t="s">
        <v>475</v>
      </c>
      <c r="N11" s="1" t="s">
        <v>368</v>
      </c>
      <c r="O11" s="1" t="s">
        <v>122</v>
      </c>
      <c r="P11" s="1" t="s">
        <v>136</v>
      </c>
      <c r="Q11" s="1" t="s">
        <v>123</v>
      </c>
      <c r="R11" s="1" t="s">
        <v>482</v>
      </c>
      <c r="S11" s="40" t="s">
        <v>134</v>
      </c>
      <c r="T11" s="40" t="s">
        <v>135</v>
      </c>
      <c r="U11" s="40" t="s">
        <v>122</v>
      </c>
      <c r="V11" s="40"/>
    </row>
    <row r="12" spans="1:22" ht="24" x14ac:dyDescent="0.55000000000000004">
      <c r="A12" s="1" t="s">
        <v>483</v>
      </c>
      <c r="B12" s="1" t="s">
        <v>484</v>
      </c>
      <c r="C12" s="1" t="s">
        <v>327</v>
      </c>
      <c r="D12" s="1" t="s">
        <v>402</v>
      </c>
      <c r="E12" s="1" t="s">
        <v>403</v>
      </c>
      <c r="F12" s="1" t="s">
        <v>467</v>
      </c>
      <c r="G12" s="1" t="s">
        <v>380</v>
      </c>
      <c r="H12" s="1" t="s">
        <v>446</v>
      </c>
      <c r="I12" s="1" t="s">
        <v>474</v>
      </c>
      <c r="J12" s="1" t="s">
        <v>459</v>
      </c>
      <c r="K12" s="1" t="s">
        <v>440</v>
      </c>
      <c r="L12" s="1" t="s">
        <v>353</v>
      </c>
      <c r="M12" s="1" t="s">
        <v>475</v>
      </c>
      <c r="N12" s="1" t="s">
        <v>368</v>
      </c>
      <c r="O12" s="1" t="s">
        <v>122</v>
      </c>
      <c r="P12" s="1" t="s">
        <v>136</v>
      </c>
      <c r="Q12" s="1" t="s">
        <v>485</v>
      </c>
      <c r="R12" s="1" t="s">
        <v>486</v>
      </c>
      <c r="S12" s="40" t="s">
        <v>134</v>
      </c>
      <c r="T12" s="40" t="s">
        <v>135</v>
      </c>
      <c r="U12" s="40" t="s">
        <v>122</v>
      </c>
      <c r="V12" s="40"/>
    </row>
    <row r="13" spans="1:22" ht="24" x14ac:dyDescent="0.55000000000000004">
      <c r="A13" s="1" t="s">
        <v>487</v>
      </c>
      <c r="B13" s="1" t="s">
        <v>488</v>
      </c>
      <c r="C13" s="1" t="s">
        <v>327</v>
      </c>
      <c r="D13" s="1" t="s">
        <v>402</v>
      </c>
      <c r="E13" s="1" t="s">
        <v>403</v>
      </c>
      <c r="F13" s="1" t="s">
        <v>437</v>
      </c>
      <c r="G13" s="1" t="s">
        <v>380</v>
      </c>
      <c r="H13" s="1" t="s">
        <v>333</v>
      </c>
      <c r="I13" s="1" t="s">
        <v>438</v>
      </c>
      <c r="J13" s="1" t="s">
        <v>459</v>
      </c>
      <c r="K13" s="1" t="s">
        <v>440</v>
      </c>
      <c r="L13" s="1" t="s">
        <v>353</v>
      </c>
      <c r="M13" s="1" t="s">
        <v>441</v>
      </c>
      <c r="N13" s="1" t="s">
        <v>368</v>
      </c>
      <c r="O13" s="1" t="s">
        <v>122</v>
      </c>
      <c r="P13" s="1" t="s">
        <v>136</v>
      </c>
      <c r="Q13" s="1" t="s">
        <v>123</v>
      </c>
      <c r="R13" s="1" t="s">
        <v>489</v>
      </c>
      <c r="S13" s="40" t="s">
        <v>134</v>
      </c>
      <c r="T13" s="40" t="s">
        <v>135</v>
      </c>
      <c r="U13" s="40" t="s">
        <v>122</v>
      </c>
      <c r="V13" s="40"/>
    </row>
    <row r="14" spans="1:22" ht="24" x14ac:dyDescent="0.55000000000000004">
      <c r="A14" s="1" t="s">
        <v>490</v>
      </c>
      <c r="B14" s="1" t="s">
        <v>491</v>
      </c>
      <c r="C14" s="1" t="s">
        <v>327</v>
      </c>
      <c r="D14" s="1" t="s">
        <v>402</v>
      </c>
      <c r="E14" s="1" t="s">
        <v>403</v>
      </c>
      <c r="F14" s="1" t="s">
        <v>437</v>
      </c>
      <c r="G14" s="1" t="s">
        <v>380</v>
      </c>
      <c r="H14" s="1" t="s">
        <v>333</v>
      </c>
      <c r="I14" s="1" t="s">
        <v>438</v>
      </c>
      <c r="J14" s="1" t="s">
        <v>459</v>
      </c>
      <c r="K14" s="1" t="s">
        <v>440</v>
      </c>
      <c r="L14" s="1" t="s">
        <v>353</v>
      </c>
      <c r="M14" s="1" t="s">
        <v>441</v>
      </c>
      <c r="N14" s="1" t="s">
        <v>368</v>
      </c>
      <c r="O14" s="1" t="s">
        <v>122</v>
      </c>
      <c r="P14" s="1" t="s">
        <v>136</v>
      </c>
      <c r="Q14" s="1" t="s">
        <v>123</v>
      </c>
      <c r="R14" s="1" t="s">
        <v>492</v>
      </c>
      <c r="S14" s="40" t="s">
        <v>134</v>
      </c>
      <c r="T14" s="40" t="s">
        <v>135</v>
      </c>
      <c r="U14" s="40" t="s">
        <v>122</v>
      </c>
      <c r="V14" s="40"/>
    </row>
    <row r="15" spans="1:22" ht="24" x14ac:dyDescent="0.55000000000000004">
      <c r="A15" s="1" t="s">
        <v>493</v>
      </c>
      <c r="B15" s="1" t="s">
        <v>494</v>
      </c>
      <c r="C15" s="1" t="s">
        <v>327</v>
      </c>
      <c r="D15" s="1" t="s">
        <v>402</v>
      </c>
      <c r="E15" s="1" t="s">
        <v>403</v>
      </c>
      <c r="F15" s="1" t="s">
        <v>437</v>
      </c>
      <c r="G15" s="1" t="s">
        <v>380</v>
      </c>
      <c r="H15" s="1" t="s">
        <v>333</v>
      </c>
      <c r="I15" s="1" t="s">
        <v>438</v>
      </c>
      <c r="J15" s="1" t="s">
        <v>459</v>
      </c>
      <c r="K15" s="1" t="s">
        <v>440</v>
      </c>
      <c r="L15" s="1" t="s">
        <v>353</v>
      </c>
      <c r="M15" s="1" t="s">
        <v>441</v>
      </c>
      <c r="N15" s="1" t="s">
        <v>368</v>
      </c>
      <c r="O15" s="1" t="s">
        <v>122</v>
      </c>
      <c r="P15" s="1" t="s">
        <v>136</v>
      </c>
      <c r="Q15" s="1" t="s">
        <v>123</v>
      </c>
      <c r="R15" s="1" t="s">
        <v>495</v>
      </c>
      <c r="S15" s="40" t="s">
        <v>134</v>
      </c>
      <c r="T15" s="40" t="s">
        <v>135</v>
      </c>
      <c r="U15" s="40" t="s">
        <v>122</v>
      </c>
      <c r="V15" s="40"/>
    </row>
    <row r="16" spans="1:22" ht="24" x14ac:dyDescent="0.55000000000000004">
      <c r="A16" s="1" t="s">
        <v>496</v>
      </c>
      <c r="B16" s="1" t="s">
        <v>497</v>
      </c>
      <c r="C16" s="1" t="s">
        <v>327</v>
      </c>
      <c r="D16" s="1" t="s">
        <v>402</v>
      </c>
      <c r="E16" s="1" t="s">
        <v>403</v>
      </c>
      <c r="F16" s="1" t="s">
        <v>445</v>
      </c>
      <c r="G16" s="1" t="s">
        <v>380</v>
      </c>
      <c r="H16" s="1" t="s">
        <v>333</v>
      </c>
      <c r="I16" s="1" t="s">
        <v>438</v>
      </c>
      <c r="J16" s="1" t="s">
        <v>448</v>
      </c>
      <c r="K16" s="1" t="s">
        <v>440</v>
      </c>
      <c r="L16" s="1" t="s">
        <v>353</v>
      </c>
      <c r="M16" s="1" t="s">
        <v>441</v>
      </c>
      <c r="N16" s="1" t="s">
        <v>368</v>
      </c>
      <c r="O16" s="1" t="s">
        <v>122</v>
      </c>
      <c r="P16" s="1" t="s">
        <v>136</v>
      </c>
      <c r="Q16" s="1" t="s">
        <v>123</v>
      </c>
      <c r="R16" s="1" t="s">
        <v>498</v>
      </c>
      <c r="S16" s="40" t="s">
        <v>134</v>
      </c>
      <c r="T16" s="40" t="s">
        <v>135</v>
      </c>
      <c r="U16" s="40" t="s">
        <v>122</v>
      </c>
      <c r="V16" s="40"/>
    </row>
    <row r="17" spans="1:22" ht="24" x14ac:dyDescent="0.55000000000000004">
      <c r="A17" s="1" t="s">
        <v>499</v>
      </c>
      <c r="B17" s="1" t="s">
        <v>500</v>
      </c>
      <c r="C17" s="1" t="s">
        <v>327</v>
      </c>
      <c r="D17" s="1" t="s">
        <v>402</v>
      </c>
      <c r="E17" s="1" t="s">
        <v>403</v>
      </c>
      <c r="F17" s="1" t="s">
        <v>453</v>
      </c>
      <c r="G17" s="1" t="s">
        <v>380</v>
      </c>
      <c r="H17" s="1" t="s">
        <v>446</v>
      </c>
      <c r="I17" s="1" t="s">
        <v>447</v>
      </c>
      <c r="J17" s="1" t="s">
        <v>439</v>
      </c>
      <c r="K17" s="1" t="s">
        <v>440</v>
      </c>
      <c r="L17" s="1" t="s">
        <v>353</v>
      </c>
      <c r="M17" s="1" t="s">
        <v>441</v>
      </c>
      <c r="N17" s="1" t="s">
        <v>368</v>
      </c>
      <c r="O17" s="1" t="s">
        <v>122</v>
      </c>
      <c r="P17" s="1" t="s">
        <v>136</v>
      </c>
      <c r="Q17" s="1" t="s">
        <v>449</v>
      </c>
      <c r="R17" s="1" t="s">
        <v>501</v>
      </c>
      <c r="S17" s="40" t="s">
        <v>134</v>
      </c>
      <c r="T17" s="40" t="s">
        <v>135</v>
      </c>
      <c r="U17" s="40" t="s">
        <v>122</v>
      </c>
      <c r="V17" s="40"/>
    </row>
    <row r="18" spans="1:22" ht="24" x14ac:dyDescent="0.55000000000000004">
      <c r="A18" s="1" t="s">
        <v>502</v>
      </c>
      <c r="B18" s="1" t="s">
        <v>503</v>
      </c>
      <c r="C18" s="1" t="s">
        <v>327</v>
      </c>
      <c r="D18" s="1" t="s">
        <v>402</v>
      </c>
      <c r="E18" s="1" t="s">
        <v>403</v>
      </c>
      <c r="F18" s="1" t="s">
        <v>458</v>
      </c>
      <c r="G18" s="1" t="s">
        <v>380</v>
      </c>
      <c r="H18" s="1" t="s">
        <v>446</v>
      </c>
      <c r="I18" s="1" t="s">
        <v>447</v>
      </c>
      <c r="J18" s="1" t="s">
        <v>459</v>
      </c>
      <c r="K18" s="1" t="s">
        <v>440</v>
      </c>
      <c r="L18" s="1" t="s">
        <v>353</v>
      </c>
      <c r="M18" s="1" t="s">
        <v>441</v>
      </c>
      <c r="N18" s="1" t="s">
        <v>368</v>
      </c>
      <c r="O18" s="1" t="s">
        <v>122</v>
      </c>
      <c r="P18" s="1" t="s">
        <v>136</v>
      </c>
      <c r="Q18" s="1" t="s">
        <v>449</v>
      </c>
      <c r="R18" s="1" t="s">
        <v>504</v>
      </c>
      <c r="S18" s="40" t="s">
        <v>134</v>
      </c>
      <c r="T18" s="40" t="s">
        <v>135</v>
      </c>
      <c r="U18" s="40" t="s">
        <v>122</v>
      </c>
      <c r="V18" s="40"/>
    </row>
    <row r="19" spans="1:22" ht="24" x14ac:dyDescent="0.55000000000000004">
      <c r="A19" s="1" t="s">
        <v>505</v>
      </c>
      <c r="B19" s="1" t="s">
        <v>506</v>
      </c>
      <c r="C19" s="1" t="s">
        <v>327</v>
      </c>
      <c r="D19" s="1" t="s">
        <v>402</v>
      </c>
      <c r="E19" s="1" t="s">
        <v>403</v>
      </c>
      <c r="F19" s="1" t="s">
        <v>463</v>
      </c>
      <c r="G19" s="1" t="s">
        <v>380</v>
      </c>
      <c r="H19" s="1" t="s">
        <v>446</v>
      </c>
      <c r="I19" s="1" t="s">
        <v>447</v>
      </c>
      <c r="J19" s="1" t="s">
        <v>459</v>
      </c>
      <c r="K19" s="1" t="s">
        <v>440</v>
      </c>
      <c r="L19" s="1" t="s">
        <v>353</v>
      </c>
      <c r="M19" s="1" t="s">
        <v>441</v>
      </c>
      <c r="N19" s="1" t="s">
        <v>368</v>
      </c>
      <c r="O19" s="1" t="s">
        <v>122</v>
      </c>
      <c r="P19" s="1" t="s">
        <v>136</v>
      </c>
      <c r="Q19" s="1" t="s">
        <v>449</v>
      </c>
      <c r="R19" s="1" t="s">
        <v>507</v>
      </c>
      <c r="S19" s="40" t="s">
        <v>134</v>
      </c>
      <c r="T19" s="40" t="s">
        <v>135</v>
      </c>
      <c r="U19" s="40" t="s">
        <v>122</v>
      </c>
      <c r="V19" s="40"/>
    </row>
    <row r="20" spans="1:22" ht="24" x14ac:dyDescent="0.55000000000000004">
      <c r="A20" s="1" t="s">
        <v>508</v>
      </c>
      <c r="B20" s="1" t="s">
        <v>509</v>
      </c>
      <c r="C20" s="1" t="s">
        <v>327</v>
      </c>
      <c r="D20" s="1" t="s">
        <v>402</v>
      </c>
      <c r="E20" s="1" t="s">
        <v>403</v>
      </c>
      <c r="F20" s="1" t="s">
        <v>467</v>
      </c>
      <c r="G20" s="1" t="s">
        <v>380</v>
      </c>
      <c r="H20" s="1" t="s">
        <v>446</v>
      </c>
      <c r="I20" s="1" t="s">
        <v>447</v>
      </c>
      <c r="J20" s="1" t="s">
        <v>459</v>
      </c>
      <c r="K20" s="1" t="s">
        <v>440</v>
      </c>
      <c r="L20" s="1" t="s">
        <v>353</v>
      </c>
      <c r="M20" s="1" t="s">
        <v>441</v>
      </c>
      <c r="N20" s="1" t="s">
        <v>368</v>
      </c>
      <c r="O20" s="1" t="s">
        <v>122</v>
      </c>
      <c r="P20" s="1" t="s">
        <v>136</v>
      </c>
      <c r="Q20" s="1" t="s">
        <v>449</v>
      </c>
      <c r="R20" s="1" t="s">
        <v>510</v>
      </c>
      <c r="S20" s="40" t="s">
        <v>134</v>
      </c>
      <c r="T20" s="40" t="s">
        <v>135</v>
      </c>
      <c r="U20" s="40" t="s">
        <v>122</v>
      </c>
      <c r="V20" s="40"/>
    </row>
    <row r="21" spans="1:22" ht="24" x14ac:dyDescent="0.55000000000000004">
      <c r="A21" s="1" t="s">
        <v>511</v>
      </c>
      <c r="B21" s="40" t="s">
        <v>512</v>
      </c>
      <c r="C21" s="40" t="s">
        <v>327</v>
      </c>
      <c r="D21" s="40" t="s">
        <v>405</v>
      </c>
      <c r="E21" s="40" t="s">
        <v>406</v>
      </c>
      <c r="F21" s="40" t="s">
        <v>349</v>
      </c>
      <c r="G21" s="40" t="s">
        <v>332</v>
      </c>
      <c r="H21" s="1" t="s">
        <v>446</v>
      </c>
      <c r="I21" s="40" t="s">
        <v>513</v>
      </c>
      <c r="J21" s="40"/>
      <c r="K21" s="40"/>
      <c r="L21" s="1" t="s">
        <v>353</v>
      </c>
      <c r="M21" s="40" t="s">
        <v>367</v>
      </c>
      <c r="N21" s="40" t="s">
        <v>345</v>
      </c>
      <c r="O21" s="40" t="s">
        <v>139</v>
      </c>
      <c r="P21" s="40" t="s">
        <v>140</v>
      </c>
      <c r="Q21" s="1" t="s">
        <v>514</v>
      </c>
      <c r="R21" s="40" t="s">
        <v>515</v>
      </c>
      <c r="S21" s="40" t="s">
        <v>138</v>
      </c>
      <c r="T21" s="40" t="s">
        <v>135</v>
      </c>
      <c r="U21" s="40" t="s">
        <v>139</v>
      </c>
      <c r="V21" s="40"/>
    </row>
    <row r="22" spans="1:22" ht="24" x14ac:dyDescent="0.55000000000000004">
      <c r="A22" s="1" t="s">
        <v>516</v>
      </c>
      <c r="B22" s="40" t="s">
        <v>517</v>
      </c>
      <c r="C22" s="40" t="s">
        <v>327</v>
      </c>
      <c r="D22" s="40" t="s">
        <v>405</v>
      </c>
      <c r="E22" s="40" t="s">
        <v>406</v>
      </c>
      <c r="F22" s="40" t="s">
        <v>349</v>
      </c>
      <c r="G22" s="40" t="s">
        <v>372</v>
      </c>
      <c r="H22" s="1" t="s">
        <v>446</v>
      </c>
      <c r="I22" s="40" t="s">
        <v>518</v>
      </c>
      <c r="J22" s="40"/>
      <c r="K22" s="40"/>
      <c r="L22" s="1" t="s">
        <v>353</v>
      </c>
      <c r="M22" s="40" t="s">
        <v>367</v>
      </c>
      <c r="N22" s="40" t="s">
        <v>345</v>
      </c>
      <c r="O22" s="40" t="s">
        <v>139</v>
      </c>
      <c r="P22" s="40" t="s">
        <v>140</v>
      </c>
      <c r="Q22" s="1" t="s">
        <v>519</v>
      </c>
      <c r="R22" s="40" t="s">
        <v>515</v>
      </c>
      <c r="S22" s="40" t="s">
        <v>138</v>
      </c>
      <c r="T22" s="40" t="s">
        <v>135</v>
      </c>
      <c r="U22" s="40" t="s">
        <v>139</v>
      </c>
      <c r="V22" s="40"/>
    </row>
    <row r="23" spans="1:22" ht="24" x14ac:dyDescent="0.55000000000000004">
      <c r="A23" s="1" t="s">
        <v>520</v>
      </c>
      <c r="B23" s="1" t="s">
        <v>521</v>
      </c>
      <c r="C23" s="1" t="s">
        <v>327</v>
      </c>
      <c r="D23" s="1" t="s">
        <v>405</v>
      </c>
      <c r="E23" s="1" t="s">
        <v>406</v>
      </c>
      <c r="F23" s="1" t="s">
        <v>349</v>
      </c>
      <c r="G23" s="1" t="s">
        <v>341</v>
      </c>
      <c r="H23" s="1" t="s">
        <v>446</v>
      </c>
      <c r="I23" s="40" t="s">
        <v>522</v>
      </c>
      <c r="J23" s="1" t="s">
        <v>523</v>
      </c>
      <c r="K23" s="1" t="s">
        <v>373</v>
      </c>
      <c r="L23" s="1" t="s">
        <v>353</v>
      </c>
      <c r="M23" s="40" t="s">
        <v>367</v>
      </c>
      <c r="N23" s="40" t="s">
        <v>345</v>
      </c>
      <c r="O23" s="40" t="s">
        <v>139</v>
      </c>
      <c r="P23" s="40" t="s">
        <v>140</v>
      </c>
      <c r="Q23" s="1" t="s">
        <v>524</v>
      </c>
      <c r="R23" s="40" t="s">
        <v>515</v>
      </c>
      <c r="S23" s="40" t="s">
        <v>138</v>
      </c>
      <c r="T23" s="40" t="s">
        <v>135</v>
      </c>
      <c r="U23" s="40" t="s">
        <v>139</v>
      </c>
    </row>
    <row r="24" spans="1:22" ht="24" x14ac:dyDescent="0.55000000000000004">
      <c r="A24" s="1" t="s">
        <v>525</v>
      </c>
      <c r="B24" s="1" t="s">
        <v>526</v>
      </c>
      <c r="C24" s="1" t="s">
        <v>327</v>
      </c>
      <c r="D24" s="1" t="s">
        <v>405</v>
      </c>
      <c r="E24" s="1" t="s">
        <v>406</v>
      </c>
      <c r="F24" s="1" t="s">
        <v>349</v>
      </c>
      <c r="G24" s="1" t="s">
        <v>365</v>
      </c>
      <c r="H24" s="1" t="s">
        <v>446</v>
      </c>
      <c r="I24" s="40" t="s">
        <v>527</v>
      </c>
      <c r="J24" s="1" t="s">
        <v>523</v>
      </c>
      <c r="K24" s="1" t="s">
        <v>373</v>
      </c>
      <c r="L24" s="1" t="s">
        <v>353</v>
      </c>
      <c r="M24" s="40" t="s">
        <v>367</v>
      </c>
      <c r="N24" s="40" t="s">
        <v>345</v>
      </c>
      <c r="O24" s="40" t="s">
        <v>139</v>
      </c>
      <c r="P24" s="40" t="s">
        <v>140</v>
      </c>
      <c r="Q24" s="1" t="s">
        <v>528</v>
      </c>
      <c r="R24" s="40" t="s">
        <v>515</v>
      </c>
      <c r="S24" s="40" t="s">
        <v>138</v>
      </c>
      <c r="T24" s="40" t="s">
        <v>135</v>
      </c>
      <c r="U24" s="40" t="s">
        <v>139</v>
      </c>
    </row>
    <row r="25" spans="1:22" ht="24" x14ac:dyDescent="0.55000000000000004">
      <c r="A25" s="1" t="s">
        <v>529</v>
      </c>
      <c r="B25" s="1" t="s">
        <v>530</v>
      </c>
      <c r="C25" s="1" t="s">
        <v>327</v>
      </c>
      <c r="D25" s="1" t="s">
        <v>405</v>
      </c>
      <c r="E25" s="1" t="s">
        <v>406</v>
      </c>
      <c r="F25" s="1" t="s">
        <v>349</v>
      </c>
      <c r="G25" s="1" t="s">
        <v>350</v>
      </c>
      <c r="H25" s="1" t="s">
        <v>446</v>
      </c>
      <c r="I25" s="40" t="s">
        <v>531</v>
      </c>
      <c r="J25" s="1" t="s">
        <v>523</v>
      </c>
      <c r="K25" s="1" t="s">
        <v>373</v>
      </c>
      <c r="L25" s="1" t="s">
        <v>353</v>
      </c>
      <c r="M25" s="40" t="s">
        <v>367</v>
      </c>
      <c r="N25" s="40" t="s">
        <v>345</v>
      </c>
      <c r="O25" s="40" t="s">
        <v>139</v>
      </c>
      <c r="P25" s="40" t="s">
        <v>140</v>
      </c>
      <c r="Q25" s="1" t="s">
        <v>532</v>
      </c>
      <c r="R25" s="40" t="s">
        <v>515</v>
      </c>
      <c r="S25" s="40" t="s">
        <v>138</v>
      </c>
      <c r="T25" s="40" t="s">
        <v>135</v>
      </c>
      <c r="U25" s="40" t="s">
        <v>139</v>
      </c>
    </row>
    <row r="26" spans="1:22" ht="24" x14ac:dyDescent="0.55000000000000004">
      <c r="A26" s="1" t="s">
        <v>533</v>
      </c>
      <c r="B26" s="1" t="s">
        <v>534</v>
      </c>
      <c r="C26" s="1" t="s">
        <v>327</v>
      </c>
      <c r="D26" s="1" t="s">
        <v>405</v>
      </c>
      <c r="E26" s="1" t="s">
        <v>406</v>
      </c>
      <c r="F26" s="1" t="s">
        <v>349</v>
      </c>
      <c r="G26" s="1" t="s">
        <v>358</v>
      </c>
      <c r="H26" s="1" t="s">
        <v>446</v>
      </c>
      <c r="I26" s="40" t="s">
        <v>535</v>
      </c>
      <c r="J26" s="1" t="s">
        <v>523</v>
      </c>
      <c r="K26" s="1" t="s">
        <v>373</v>
      </c>
      <c r="L26" s="1" t="s">
        <v>353</v>
      </c>
      <c r="M26" s="40" t="s">
        <v>367</v>
      </c>
      <c r="N26" s="40" t="s">
        <v>345</v>
      </c>
      <c r="O26" s="40" t="s">
        <v>139</v>
      </c>
      <c r="P26" s="40" t="s">
        <v>140</v>
      </c>
      <c r="Q26" s="1" t="s">
        <v>536</v>
      </c>
      <c r="R26" s="40" t="s">
        <v>515</v>
      </c>
      <c r="S26" s="40" t="s">
        <v>138</v>
      </c>
      <c r="T26" s="40" t="s">
        <v>135</v>
      </c>
      <c r="U26" s="40" t="s">
        <v>139</v>
      </c>
    </row>
    <row r="27" spans="1:22" ht="20.25" customHeight="1" x14ac:dyDescent="0.55000000000000004">
      <c r="A27" s="1" t="s">
        <v>537</v>
      </c>
      <c r="B27" s="1" t="s">
        <v>538</v>
      </c>
      <c r="C27" s="1" t="s">
        <v>327</v>
      </c>
      <c r="D27" s="1" t="s">
        <v>402</v>
      </c>
      <c r="E27" s="1" t="s">
        <v>403</v>
      </c>
      <c r="F27" s="1" t="s">
        <v>349</v>
      </c>
      <c r="G27" s="1" t="s">
        <v>380</v>
      </c>
      <c r="H27" s="1" t="s">
        <v>446</v>
      </c>
      <c r="I27" s="40" t="s">
        <v>539</v>
      </c>
      <c r="J27" s="1" t="s">
        <v>540</v>
      </c>
      <c r="K27" s="1" t="s">
        <v>373</v>
      </c>
      <c r="L27" s="1" t="s">
        <v>353</v>
      </c>
      <c r="M27" s="40" t="s">
        <v>367</v>
      </c>
      <c r="N27" s="40" t="s">
        <v>345</v>
      </c>
      <c r="O27" s="40" t="s">
        <v>139</v>
      </c>
      <c r="P27" s="40" t="s">
        <v>140</v>
      </c>
      <c r="Q27" s="1" t="s">
        <v>541</v>
      </c>
      <c r="R27" s="40" t="s">
        <v>542</v>
      </c>
      <c r="S27" s="40" t="s">
        <v>138</v>
      </c>
      <c r="T27" s="40" t="s">
        <v>135</v>
      </c>
      <c r="U27" s="40" t="s">
        <v>139</v>
      </c>
    </row>
    <row r="134" ht="24" x14ac:dyDescent="0.55000000000000004"/>
    <row r="135" ht="24" x14ac:dyDescent="0.55000000000000004"/>
    <row r="136" ht="24" x14ac:dyDescent="0.55000000000000004"/>
    <row r="137" ht="24" x14ac:dyDescent="0.55000000000000004"/>
    <row r="138" ht="24" x14ac:dyDescent="0.55000000000000004"/>
    <row r="139" ht="24" x14ac:dyDescent="0.55000000000000004"/>
  </sheetData>
  <autoFilter ref="A1:V22" xr:uid="{00000000-0001-0000-0400-000000000000}">
    <sortState xmlns:xlrd2="http://schemas.microsoft.com/office/spreadsheetml/2017/richdata2" ref="A2:V27">
      <sortCondition ref="A1:A27"/>
    </sortState>
  </autoFilter>
  <phoneticPr fontId="2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V18"/>
  <sheetViews>
    <sheetView zoomScale="112" zoomScaleNormal="112" workbookViewId="0">
      <pane ySplit="1" topLeftCell="A2" activePane="bottomLeft" state="frozen"/>
      <selection activeCell="E419" sqref="E419"/>
      <selection pane="bottomLeft" activeCell="F5" sqref="F5"/>
    </sheetView>
  </sheetViews>
  <sheetFormatPr defaultColWidth="10.85546875" defaultRowHeight="20.25" customHeight="1" x14ac:dyDescent="0.55000000000000004"/>
  <cols>
    <col min="1" max="1" width="10.85546875" style="1" customWidth="1"/>
    <col min="2" max="15" width="10.85546875" style="1"/>
    <col min="16" max="16" width="23.85546875" style="1" customWidth="1"/>
    <col min="17" max="17" width="10.85546875" style="1"/>
    <col min="18" max="18" width="19" style="1" customWidth="1"/>
    <col min="19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429</v>
      </c>
      <c r="H1" s="24" t="s">
        <v>543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40" t="s">
        <v>544</v>
      </c>
      <c r="B2" s="40" t="s">
        <v>545</v>
      </c>
      <c r="C2" s="40" t="s">
        <v>327</v>
      </c>
      <c r="D2" s="40" t="s">
        <v>328</v>
      </c>
      <c r="E2" s="40" t="s">
        <v>347</v>
      </c>
      <c r="F2" s="40" t="s">
        <v>399</v>
      </c>
      <c r="G2" s="40" t="s">
        <v>350</v>
      </c>
      <c r="H2" s="40" t="s">
        <v>333</v>
      </c>
      <c r="I2" s="40" t="s">
        <v>546</v>
      </c>
      <c r="J2" s="40" t="s">
        <v>547</v>
      </c>
      <c r="K2" s="40" t="s">
        <v>373</v>
      </c>
      <c r="L2" s="40" t="s">
        <v>353</v>
      </c>
      <c r="M2" s="40" t="s">
        <v>123</v>
      </c>
      <c r="N2" s="40" t="s">
        <v>336</v>
      </c>
      <c r="O2" s="40" t="s">
        <v>139</v>
      </c>
      <c r="P2" s="23" t="s">
        <v>548</v>
      </c>
      <c r="Q2" s="40" t="s">
        <v>123</v>
      </c>
      <c r="R2" s="40" t="s">
        <v>549</v>
      </c>
      <c r="S2" s="40" t="s">
        <v>204</v>
      </c>
      <c r="T2" s="40" t="s">
        <v>135</v>
      </c>
      <c r="U2" s="40" t="s">
        <v>139</v>
      </c>
      <c r="V2" s="40" t="s">
        <v>123</v>
      </c>
    </row>
    <row r="3" spans="1:22" ht="24" x14ac:dyDescent="0.55000000000000004">
      <c r="A3" s="1" t="s">
        <v>550</v>
      </c>
      <c r="B3" s="1" t="s">
        <v>551</v>
      </c>
      <c r="C3" s="1" t="s">
        <v>327</v>
      </c>
      <c r="D3" s="1" t="s">
        <v>376</v>
      </c>
      <c r="E3" s="1" t="s">
        <v>377</v>
      </c>
      <c r="F3" s="1" t="s">
        <v>349</v>
      </c>
      <c r="G3" s="1" t="s">
        <v>332</v>
      </c>
      <c r="H3" s="1" t="s">
        <v>333</v>
      </c>
      <c r="I3" s="21">
        <v>2025</v>
      </c>
      <c r="J3" s="1" t="s">
        <v>547</v>
      </c>
      <c r="K3" s="1" t="s">
        <v>394</v>
      </c>
      <c r="L3" s="1" t="s">
        <v>353</v>
      </c>
      <c r="M3" s="1" t="s">
        <v>552</v>
      </c>
      <c r="N3" s="1" t="s">
        <v>336</v>
      </c>
      <c r="O3" s="1" t="s">
        <v>139</v>
      </c>
      <c r="P3" s="23" t="s">
        <v>553</v>
      </c>
      <c r="Q3" s="1" t="s">
        <v>123</v>
      </c>
      <c r="R3" s="1" t="s">
        <v>554</v>
      </c>
      <c r="S3" s="1" t="s">
        <v>204</v>
      </c>
      <c r="T3" s="1" t="s">
        <v>135</v>
      </c>
      <c r="U3" s="1" t="s">
        <v>139</v>
      </c>
      <c r="V3" s="1" t="s">
        <v>123</v>
      </c>
    </row>
    <row r="4" spans="1:22" ht="24" x14ac:dyDescent="0.55000000000000004">
      <c r="A4" s="40" t="s">
        <v>555</v>
      </c>
      <c r="B4" s="40" t="s">
        <v>556</v>
      </c>
      <c r="C4" s="40" t="s">
        <v>327</v>
      </c>
      <c r="D4" s="40" t="s">
        <v>328</v>
      </c>
      <c r="E4" s="40" t="s">
        <v>347</v>
      </c>
      <c r="F4" s="40" t="s">
        <v>399</v>
      </c>
      <c r="G4" s="40" t="s">
        <v>350</v>
      </c>
      <c r="H4" s="40" t="s">
        <v>333</v>
      </c>
      <c r="I4" s="42">
        <v>2025</v>
      </c>
      <c r="J4" s="40" t="s">
        <v>547</v>
      </c>
      <c r="K4" s="40" t="s">
        <v>381</v>
      </c>
      <c r="L4" s="40" t="s">
        <v>353</v>
      </c>
      <c r="M4" s="40" t="s">
        <v>123</v>
      </c>
      <c r="N4" s="40" t="s">
        <v>336</v>
      </c>
      <c r="O4" s="40" t="s">
        <v>139</v>
      </c>
      <c r="P4" s="23" t="s">
        <v>557</v>
      </c>
      <c r="Q4" s="40" t="s">
        <v>123</v>
      </c>
      <c r="R4" s="40" t="s">
        <v>558</v>
      </c>
      <c r="S4" s="40" t="s">
        <v>204</v>
      </c>
      <c r="T4" s="40" t="s">
        <v>135</v>
      </c>
      <c r="U4" s="40" t="s">
        <v>139</v>
      </c>
      <c r="V4" s="40" t="s">
        <v>123</v>
      </c>
    </row>
    <row r="5" spans="1:22" ht="24" x14ac:dyDescent="0.55000000000000004">
      <c r="A5" s="1" t="s">
        <v>559</v>
      </c>
      <c r="B5" s="1" t="s">
        <v>560</v>
      </c>
      <c r="C5" s="1" t="s">
        <v>327</v>
      </c>
      <c r="D5" s="1" t="s">
        <v>376</v>
      </c>
      <c r="E5" s="1" t="s">
        <v>377</v>
      </c>
      <c r="F5" s="1" t="s">
        <v>349</v>
      </c>
      <c r="G5" s="1" t="s">
        <v>332</v>
      </c>
      <c r="H5" s="1" t="s">
        <v>333</v>
      </c>
      <c r="I5" s="21">
        <v>2025</v>
      </c>
      <c r="J5" s="1" t="s">
        <v>547</v>
      </c>
      <c r="K5" s="1" t="s">
        <v>373</v>
      </c>
      <c r="L5" s="1" t="s">
        <v>360</v>
      </c>
      <c r="M5" s="1" t="s">
        <v>123</v>
      </c>
      <c r="N5" s="1" t="s">
        <v>336</v>
      </c>
      <c r="O5" s="1" t="s">
        <v>139</v>
      </c>
      <c r="P5" s="23" t="s">
        <v>561</v>
      </c>
      <c r="Q5" s="1" t="s">
        <v>123</v>
      </c>
      <c r="R5" s="1" t="s">
        <v>562</v>
      </c>
      <c r="S5" s="1" t="s">
        <v>204</v>
      </c>
      <c r="T5" s="1" t="s">
        <v>135</v>
      </c>
      <c r="U5" s="1" t="s">
        <v>139</v>
      </c>
      <c r="V5" s="1" t="s">
        <v>123</v>
      </c>
    </row>
    <row r="6" spans="1:22" ht="24" x14ac:dyDescent="0.55000000000000004">
      <c r="A6" s="1" t="s">
        <v>563</v>
      </c>
      <c r="B6" s="1" t="s">
        <v>564</v>
      </c>
      <c r="C6" s="1" t="s">
        <v>327</v>
      </c>
      <c r="D6" s="1" t="s">
        <v>376</v>
      </c>
      <c r="E6" s="1" t="s">
        <v>377</v>
      </c>
      <c r="F6" s="1" t="s">
        <v>349</v>
      </c>
      <c r="G6" s="1" t="s">
        <v>332</v>
      </c>
      <c r="H6" s="1" t="s">
        <v>333</v>
      </c>
      <c r="I6" s="21">
        <v>2025</v>
      </c>
      <c r="J6" s="1" t="s">
        <v>547</v>
      </c>
      <c r="K6" s="1" t="s">
        <v>373</v>
      </c>
      <c r="L6" s="1" t="s">
        <v>360</v>
      </c>
      <c r="M6" s="1" t="s">
        <v>552</v>
      </c>
      <c r="N6" s="1" t="s">
        <v>336</v>
      </c>
      <c r="O6" s="1" t="s">
        <v>139</v>
      </c>
      <c r="P6" s="23" t="s">
        <v>565</v>
      </c>
      <c r="Q6" s="1" t="s">
        <v>123</v>
      </c>
      <c r="R6" s="1" t="s">
        <v>566</v>
      </c>
      <c r="S6" s="1" t="s">
        <v>204</v>
      </c>
      <c r="T6" s="1" t="s">
        <v>135</v>
      </c>
      <c r="U6" s="1" t="s">
        <v>139</v>
      </c>
      <c r="V6" s="1" t="s">
        <v>123</v>
      </c>
    </row>
    <row r="7" spans="1:22" ht="24" x14ac:dyDescent="0.55000000000000004">
      <c r="A7" s="1" t="s">
        <v>567</v>
      </c>
      <c r="B7" s="1" t="s">
        <v>568</v>
      </c>
      <c r="C7" s="1" t="s">
        <v>327</v>
      </c>
      <c r="D7" s="1" t="s">
        <v>376</v>
      </c>
      <c r="E7" s="1" t="s">
        <v>377</v>
      </c>
      <c r="F7" s="1" t="s">
        <v>349</v>
      </c>
      <c r="G7" s="1" t="s">
        <v>332</v>
      </c>
      <c r="H7" s="1" t="s">
        <v>333</v>
      </c>
      <c r="I7" s="21">
        <v>2025</v>
      </c>
      <c r="J7" s="1" t="s">
        <v>547</v>
      </c>
      <c r="K7" s="1" t="s">
        <v>373</v>
      </c>
      <c r="L7" s="1" t="s">
        <v>353</v>
      </c>
      <c r="M7" s="1" t="s">
        <v>552</v>
      </c>
      <c r="N7" s="1" t="s">
        <v>336</v>
      </c>
      <c r="O7" s="1" t="s">
        <v>139</v>
      </c>
      <c r="P7" s="23" t="s">
        <v>569</v>
      </c>
      <c r="Q7" s="1" t="s">
        <v>123</v>
      </c>
      <c r="R7" s="1" t="s">
        <v>570</v>
      </c>
      <c r="S7" s="1" t="s">
        <v>204</v>
      </c>
      <c r="T7" s="1" t="s">
        <v>135</v>
      </c>
      <c r="U7" s="1" t="s">
        <v>139</v>
      </c>
      <c r="V7" s="1" t="s">
        <v>123</v>
      </c>
    </row>
    <row r="8" spans="1:22" ht="24" x14ac:dyDescent="0.55000000000000004">
      <c r="A8" s="1" t="s">
        <v>571</v>
      </c>
      <c r="B8" s="1" t="s">
        <v>572</v>
      </c>
      <c r="C8" s="1" t="s">
        <v>327</v>
      </c>
      <c r="D8" s="1" t="s">
        <v>376</v>
      </c>
      <c r="E8" s="1" t="s">
        <v>377</v>
      </c>
      <c r="F8" s="1" t="s">
        <v>349</v>
      </c>
      <c r="G8" s="1" t="s">
        <v>332</v>
      </c>
      <c r="H8" s="1" t="s">
        <v>333</v>
      </c>
      <c r="I8" s="21">
        <v>2025</v>
      </c>
      <c r="J8" s="1" t="s">
        <v>547</v>
      </c>
      <c r="K8" s="1" t="s">
        <v>373</v>
      </c>
      <c r="L8" s="1" t="s">
        <v>353</v>
      </c>
      <c r="M8" s="1" t="s">
        <v>552</v>
      </c>
      <c r="N8" s="1" t="s">
        <v>336</v>
      </c>
      <c r="O8" s="1" t="s">
        <v>139</v>
      </c>
      <c r="P8" s="23" t="s">
        <v>573</v>
      </c>
      <c r="Q8" s="1" t="s">
        <v>123</v>
      </c>
      <c r="R8" s="1" t="s">
        <v>574</v>
      </c>
      <c r="S8" s="1" t="s">
        <v>204</v>
      </c>
      <c r="T8" s="1" t="s">
        <v>135</v>
      </c>
      <c r="U8" s="1" t="s">
        <v>139</v>
      </c>
      <c r="V8" s="1" t="s">
        <v>123</v>
      </c>
    </row>
    <row r="9" spans="1:22" ht="20.25" customHeight="1" x14ac:dyDescent="0.55000000000000004">
      <c r="A9" s="1" t="s">
        <v>575</v>
      </c>
      <c r="B9" s="1" t="s">
        <v>576</v>
      </c>
      <c r="C9" s="1" t="s">
        <v>327</v>
      </c>
      <c r="D9" s="1" t="s">
        <v>376</v>
      </c>
      <c r="E9" s="1" t="s">
        <v>377</v>
      </c>
      <c r="F9" s="1" t="s">
        <v>349</v>
      </c>
      <c r="G9" s="1" t="s">
        <v>332</v>
      </c>
      <c r="H9" s="1" t="s">
        <v>333</v>
      </c>
      <c r="I9" s="21">
        <v>2025</v>
      </c>
      <c r="J9" s="1" t="s">
        <v>547</v>
      </c>
      <c r="K9" s="1" t="s">
        <v>394</v>
      </c>
      <c r="L9" s="1" t="s">
        <v>353</v>
      </c>
      <c r="M9" s="1" t="s">
        <v>552</v>
      </c>
      <c r="N9" s="1" t="s">
        <v>336</v>
      </c>
      <c r="O9" s="1" t="s">
        <v>139</v>
      </c>
      <c r="P9" s="23" t="s">
        <v>577</v>
      </c>
      <c r="Q9" s="1" t="s">
        <v>123</v>
      </c>
      <c r="R9" s="1" t="s">
        <v>578</v>
      </c>
      <c r="S9" s="1" t="s">
        <v>204</v>
      </c>
      <c r="T9" s="1" t="s">
        <v>135</v>
      </c>
      <c r="U9" s="1" t="s">
        <v>139</v>
      </c>
      <c r="V9" s="1" t="s">
        <v>123</v>
      </c>
    </row>
    <row r="10" spans="1:22" ht="20.25" customHeight="1" x14ac:dyDescent="0.55000000000000004">
      <c r="A10" s="1" t="s">
        <v>579</v>
      </c>
      <c r="B10" s="1" t="s">
        <v>580</v>
      </c>
      <c r="C10" s="1" t="s">
        <v>327</v>
      </c>
      <c r="D10" s="1" t="s">
        <v>376</v>
      </c>
      <c r="E10" s="1" t="s">
        <v>377</v>
      </c>
      <c r="F10" s="1" t="s">
        <v>349</v>
      </c>
      <c r="G10" s="1" t="s">
        <v>332</v>
      </c>
      <c r="H10" s="1" t="s">
        <v>333</v>
      </c>
      <c r="I10" s="21">
        <v>2025</v>
      </c>
      <c r="J10" s="1" t="s">
        <v>547</v>
      </c>
      <c r="K10" s="1" t="s">
        <v>394</v>
      </c>
      <c r="L10" s="1" t="s">
        <v>353</v>
      </c>
      <c r="M10" s="1" t="s">
        <v>552</v>
      </c>
      <c r="N10" s="1" t="s">
        <v>336</v>
      </c>
      <c r="O10" s="1" t="s">
        <v>139</v>
      </c>
      <c r="P10" s="23" t="s">
        <v>581</v>
      </c>
      <c r="Q10" s="1" t="s">
        <v>123</v>
      </c>
      <c r="R10" s="1" t="s">
        <v>582</v>
      </c>
      <c r="S10" s="1" t="s">
        <v>204</v>
      </c>
      <c r="T10" s="1" t="s">
        <v>135</v>
      </c>
      <c r="U10" s="1" t="s">
        <v>139</v>
      </c>
      <c r="V10" s="1" t="s">
        <v>123</v>
      </c>
    </row>
    <row r="11" spans="1:22" ht="20.25" customHeight="1" x14ac:dyDescent="0.55000000000000004">
      <c r="A11" s="1" t="s">
        <v>583</v>
      </c>
      <c r="B11" s="1" t="s">
        <v>584</v>
      </c>
      <c r="C11" s="1" t="s">
        <v>327</v>
      </c>
      <c r="D11" s="1" t="s">
        <v>376</v>
      </c>
      <c r="E11" s="1" t="s">
        <v>377</v>
      </c>
      <c r="F11" s="1" t="s">
        <v>349</v>
      </c>
      <c r="G11" s="1" t="s">
        <v>332</v>
      </c>
      <c r="H11" s="1" t="s">
        <v>333</v>
      </c>
      <c r="I11" s="21">
        <v>2025</v>
      </c>
      <c r="J11" s="1" t="s">
        <v>547</v>
      </c>
      <c r="K11" s="1" t="s">
        <v>394</v>
      </c>
      <c r="L11" s="1" t="s">
        <v>353</v>
      </c>
      <c r="M11" s="1" t="s">
        <v>552</v>
      </c>
      <c r="N11" s="1" t="s">
        <v>336</v>
      </c>
      <c r="O11" s="1" t="s">
        <v>139</v>
      </c>
      <c r="P11" s="23" t="s">
        <v>585</v>
      </c>
      <c r="Q11" s="1" t="s">
        <v>123</v>
      </c>
      <c r="R11" s="1" t="s">
        <v>586</v>
      </c>
      <c r="S11" s="1" t="s">
        <v>204</v>
      </c>
      <c r="T11" s="1" t="s">
        <v>135</v>
      </c>
      <c r="U11" s="1" t="s">
        <v>139</v>
      </c>
      <c r="V11" s="1" t="s">
        <v>123</v>
      </c>
    </row>
    <row r="12" spans="1:22" ht="20.25" customHeight="1" x14ac:dyDescent="0.55000000000000004">
      <c r="A12" s="1" t="s">
        <v>587</v>
      </c>
      <c r="B12" s="1" t="s">
        <v>588</v>
      </c>
      <c r="C12" s="1" t="s">
        <v>327</v>
      </c>
      <c r="D12" s="1" t="s">
        <v>402</v>
      </c>
      <c r="E12" s="1" t="s">
        <v>403</v>
      </c>
      <c r="F12" s="1" t="s">
        <v>467</v>
      </c>
      <c r="G12" s="1" t="s">
        <v>380</v>
      </c>
      <c r="H12" s="1" t="s">
        <v>333</v>
      </c>
      <c r="I12" s="1" t="s">
        <v>589</v>
      </c>
      <c r="J12" s="1" t="s">
        <v>459</v>
      </c>
      <c r="K12" s="1" t="s">
        <v>352</v>
      </c>
      <c r="L12" s="1" t="s">
        <v>353</v>
      </c>
      <c r="M12" s="1" t="s">
        <v>590</v>
      </c>
      <c r="N12" s="1" t="s">
        <v>368</v>
      </c>
      <c r="O12" s="1" t="s">
        <v>139</v>
      </c>
      <c r="P12" s="23" t="s">
        <v>208</v>
      </c>
      <c r="Q12" s="1" t="s">
        <v>123</v>
      </c>
      <c r="R12" s="1" t="s">
        <v>591</v>
      </c>
      <c r="S12" s="40" t="s">
        <v>207</v>
      </c>
      <c r="T12" s="40" t="s">
        <v>135</v>
      </c>
      <c r="U12" s="40" t="s">
        <v>139</v>
      </c>
      <c r="V12" s="40"/>
    </row>
    <row r="13" spans="1:22" ht="20.25" customHeight="1" x14ac:dyDescent="0.55000000000000004">
      <c r="A13" s="1" t="s">
        <v>592</v>
      </c>
      <c r="B13" s="1" t="s">
        <v>593</v>
      </c>
      <c r="C13" s="1" t="s">
        <v>327</v>
      </c>
      <c r="D13" s="1" t="s">
        <v>376</v>
      </c>
      <c r="E13" s="1" t="s">
        <v>377</v>
      </c>
      <c r="F13" s="1" t="s">
        <v>349</v>
      </c>
      <c r="G13" s="1" t="s">
        <v>341</v>
      </c>
      <c r="H13" s="1" t="s">
        <v>333</v>
      </c>
      <c r="I13" s="1" t="s">
        <v>594</v>
      </c>
      <c r="J13" s="1" t="s">
        <v>595</v>
      </c>
      <c r="K13" s="1" t="s">
        <v>373</v>
      </c>
      <c r="L13" s="1" t="s">
        <v>353</v>
      </c>
      <c r="M13" s="1" t="s">
        <v>123</v>
      </c>
      <c r="N13" s="1" t="s">
        <v>390</v>
      </c>
      <c r="O13" s="1" t="s">
        <v>139</v>
      </c>
      <c r="P13" s="23" t="s">
        <v>208</v>
      </c>
      <c r="R13" s="1" t="s">
        <v>596</v>
      </c>
      <c r="S13" s="40" t="s">
        <v>207</v>
      </c>
      <c r="T13" s="40" t="s">
        <v>135</v>
      </c>
      <c r="U13" s="40" t="s">
        <v>139</v>
      </c>
      <c r="V13" s="40"/>
    </row>
    <row r="14" spans="1:22" ht="20.25" customHeight="1" x14ac:dyDescent="0.55000000000000004">
      <c r="A14" s="1" t="s">
        <v>597</v>
      </c>
      <c r="B14" s="1" t="s">
        <v>598</v>
      </c>
      <c r="C14" s="1" t="s">
        <v>327</v>
      </c>
      <c r="D14" s="1" t="s">
        <v>328</v>
      </c>
      <c r="E14" s="1" t="s">
        <v>347</v>
      </c>
      <c r="F14" s="1" t="s">
        <v>364</v>
      </c>
      <c r="G14" s="1" t="s">
        <v>380</v>
      </c>
      <c r="H14" s="1" t="s">
        <v>333</v>
      </c>
      <c r="I14" s="1" t="s">
        <v>599</v>
      </c>
      <c r="J14" s="1" t="s">
        <v>547</v>
      </c>
      <c r="K14" s="1" t="s">
        <v>381</v>
      </c>
      <c r="L14" s="1" t="s">
        <v>353</v>
      </c>
      <c r="M14" s="1" t="s">
        <v>600</v>
      </c>
      <c r="N14" s="1" t="s">
        <v>390</v>
      </c>
      <c r="O14" s="1" t="s">
        <v>139</v>
      </c>
      <c r="P14" s="23" t="s">
        <v>211</v>
      </c>
      <c r="Q14" s="1" t="s">
        <v>601</v>
      </c>
      <c r="R14" s="1" t="s">
        <v>602</v>
      </c>
      <c r="S14" s="40" t="s">
        <v>210</v>
      </c>
      <c r="T14" s="40" t="s">
        <v>135</v>
      </c>
      <c r="U14" s="40" t="s">
        <v>139</v>
      </c>
      <c r="V14" s="40"/>
    </row>
    <row r="15" spans="1:22" ht="20.25" customHeight="1" x14ac:dyDescent="0.55000000000000004">
      <c r="A15" s="1" t="s">
        <v>603</v>
      </c>
      <c r="B15" s="1" t="s">
        <v>604</v>
      </c>
      <c r="C15" s="1" t="s">
        <v>327</v>
      </c>
      <c r="D15" s="1" t="s">
        <v>328</v>
      </c>
      <c r="E15" s="1" t="s">
        <v>347</v>
      </c>
      <c r="F15" s="1" t="s">
        <v>364</v>
      </c>
      <c r="G15" s="1" t="s">
        <v>380</v>
      </c>
      <c r="H15" s="1" t="s">
        <v>333</v>
      </c>
      <c r="I15" s="1" t="s">
        <v>605</v>
      </c>
      <c r="J15" s="1" t="s">
        <v>606</v>
      </c>
      <c r="K15" s="1" t="s">
        <v>381</v>
      </c>
      <c r="L15" s="1" t="s">
        <v>353</v>
      </c>
      <c r="M15" s="1" t="s">
        <v>600</v>
      </c>
      <c r="N15" s="1" t="s">
        <v>390</v>
      </c>
      <c r="O15" s="1" t="s">
        <v>139</v>
      </c>
      <c r="P15" s="23" t="s">
        <v>211</v>
      </c>
      <c r="Q15" s="1" t="s">
        <v>601</v>
      </c>
      <c r="S15" s="40" t="s">
        <v>210</v>
      </c>
      <c r="T15" s="40" t="s">
        <v>135</v>
      </c>
      <c r="U15" s="40" t="s">
        <v>139</v>
      </c>
      <c r="V15" s="40"/>
    </row>
    <row r="16" spans="1:22" ht="20.25" customHeight="1" x14ac:dyDescent="0.55000000000000004">
      <c r="A16" s="1" t="s">
        <v>607</v>
      </c>
      <c r="B16" s="1" t="s">
        <v>608</v>
      </c>
      <c r="C16" s="1" t="s">
        <v>327</v>
      </c>
      <c r="D16" s="1" t="s">
        <v>328</v>
      </c>
      <c r="E16" s="1" t="s">
        <v>347</v>
      </c>
      <c r="F16" s="1" t="s">
        <v>357</v>
      </c>
      <c r="G16" s="1" t="s">
        <v>380</v>
      </c>
      <c r="H16" s="1" t="s">
        <v>333</v>
      </c>
      <c r="I16" s="1" t="s">
        <v>609</v>
      </c>
      <c r="J16" s="1" t="s">
        <v>123</v>
      </c>
      <c r="K16" s="1" t="s">
        <v>610</v>
      </c>
      <c r="L16" s="1" t="s">
        <v>353</v>
      </c>
      <c r="M16" s="1" t="s">
        <v>382</v>
      </c>
      <c r="N16" s="1" t="s">
        <v>611</v>
      </c>
      <c r="O16" s="1" t="s">
        <v>139</v>
      </c>
      <c r="P16" s="23" t="s">
        <v>211</v>
      </c>
      <c r="Q16" s="1" t="s">
        <v>601</v>
      </c>
      <c r="S16" s="40" t="s">
        <v>210</v>
      </c>
      <c r="T16" s="40" t="s">
        <v>135</v>
      </c>
      <c r="U16" s="40" t="s">
        <v>139</v>
      </c>
      <c r="V16" s="40"/>
    </row>
    <row r="17" spans="1:22" ht="20.25" customHeight="1" x14ac:dyDescent="0.55000000000000004">
      <c r="A17" s="1" t="s">
        <v>612</v>
      </c>
      <c r="B17" s="1" t="s">
        <v>613</v>
      </c>
      <c r="C17" s="1" t="s">
        <v>327</v>
      </c>
      <c r="D17" s="1" t="s">
        <v>328</v>
      </c>
      <c r="E17" s="1" t="s">
        <v>347</v>
      </c>
      <c r="F17" s="1" t="s">
        <v>467</v>
      </c>
      <c r="G17" s="1" t="s">
        <v>380</v>
      </c>
      <c r="H17" s="1" t="s">
        <v>333</v>
      </c>
      <c r="I17" s="1" t="s">
        <v>614</v>
      </c>
      <c r="J17" s="1" t="s">
        <v>123</v>
      </c>
      <c r="K17" s="1" t="s">
        <v>440</v>
      </c>
      <c r="L17" s="1" t="s">
        <v>353</v>
      </c>
      <c r="M17" s="1" t="s">
        <v>615</v>
      </c>
      <c r="N17" s="1" t="s">
        <v>368</v>
      </c>
      <c r="O17" s="1" t="s">
        <v>139</v>
      </c>
      <c r="P17" s="23" t="s">
        <v>214</v>
      </c>
      <c r="Q17" s="1" t="s">
        <v>123</v>
      </c>
      <c r="R17" s="1" t="s">
        <v>123</v>
      </c>
      <c r="S17" s="40" t="s">
        <v>213</v>
      </c>
      <c r="T17" s="40" t="s">
        <v>135</v>
      </c>
      <c r="U17" s="40" t="s">
        <v>139</v>
      </c>
      <c r="V17" s="40"/>
    </row>
    <row r="18" spans="1:22" ht="20.25" customHeight="1" x14ac:dyDescent="0.55000000000000004">
      <c r="A18" s="40" t="s">
        <v>616</v>
      </c>
      <c r="B18" s="1" t="s">
        <v>617</v>
      </c>
      <c r="C18" s="1" t="s">
        <v>327</v>
      </c>
      <c r="D18" s="1" t="s">
        <v>328</v>
      </c>
      <c r="E18" s="1" t="s">
        <v>338</v>
      </c>
      <c r="F18" s="1" t="s">
        <v>364</v>
      </c>
      <c r="G18" s="1" t="s">
        <v>618</v>
      </c>
      <c r="H18" s="1" t="s">
        <v>446</v>
      </c>
      <c r="I18" s="1" t="s">
        <v>513</v>
      </c>
      <c r="J18" s="1" t="s">
        <v>547</v>
      </c>
      <c r="K18" s="1" t="s">
        <v>373</v>
      </c>
      <c r="L18" s="1" t="s">
        <v>353</v>
      </c>
      <c r="M18" s="1" t="s">
        <v>367</v>
      </c>
      <c r="N18" s="1" t="s">
        <v>345</v>
      </c>
      <c r="O18" s="1" t="s">
        <v>122</v>
      </c>
      <c r="P18" s="1" t="s">
        <v>123</v>
      </c>
      <c r="Q18" s="1" t="s">
        <v>123</v>
      </c>
      <c r="S18" s="40" t="s">
        <v>131</v>
      </c>
      <c r="T18" s="40" t="s">
        <v>132</v>
      </c>
      <c r="U18" s="40" t="s">
        <v>122</v>
      </c>
      <c r="V18" s="40"/>
    </row>
  </sheetData>
  <autoFilter ref="A1:V18" xr:uid="{00000000-0001-0000-0500-000000000000}">
    <sortState xmlns:xlrd2="http://schemas.microsoft.com/office/spreadsheetml/2017/richdata2" ref="A2:V18">
      <sortCondition ref="A1:A18"/>
    </sortState>
  </autoFilter>
  <hyperlinks>
    <hyperlink ref="P17" r:id="rId1" xr:uid="{00000000-0004-0000-0500-000000000000}"/>
    <hyperlink ref="P12" r:id="rId2" location="/" xr:uid="{00000000-0004-0000-0500-000001000000}"/>
    <hyperlink ref="P13" r:id="rId3" location="/" xr:uid="{00000000-0004-0000-0500-000002000000}"/>
    <hyperlink ref="P14" r:id="rId4" xr:uid="{00000000-0004-0000-0500-000003000000}"/>
    <hyperlink ref="P15" r:id="rId5" xr:uid="{00000000-0004-0000-0500-000004000000}"/>
    <hyperlink ref="P16" r:id="rId6" xr:uid="{00000000-0004-0000-0500-000005000000}"/>
    <hyperlink ref="P2" r:id="rId7" xr:uid="{EDFFECB2-1B18-0845-9710-4944A6A38169}"/>
    <hyperlink ref="P4" r:id="rId8" xr:uid="{6D3FD721-6521-4348-AB5C-AD6441338E82}"/>
    <hyperlink ref="P5" r:id="rId9" xr:uid="{84713074-9554-8841-BCA3-2548D5F4D7B2}"/>
    <hyperlink ref="P6" r:id="rId10" xr:uid="{DF71886D-246E-8740-8B9D-CDBA5731E9C2}"/>
    <hyperlink ref="P7" r:id="rId11" xr:uid="{560585B8-5F4B-CE49-9CAB-45D5535F7F89}"/>
    <hyperlink ref="P8" r:id="rId12" xr:uid="{1D782ADA-9E22-F441-AED4-32C9042125CB}"/>
    <hyperlink ref="P9" r:id="rId13" xr:uid="{97C39BC6-0319-1D43-967D-ECF8CB4BD66D}"/>
    <hyperlink ref="P10" r:id="rId14" xr:uid="{91B08B97-9307-EF48-9946-E9CC72D3F7F0}"/>
    <hyperlink ref="P11" r:id="rId15" xr:uid="{CCACD686-DFB6-9447-BAFC-AAB0B1114B6E}"/>
    <hyperlink ref="P3" r:id="rId16" xr:uid="{0E0E9B15-B50E-A442-89D6-13FA9C24DA04}"/>
  </hyperlinks>
  <pageMargins left="0.3" right="0.3" top="0.5" bottom="0.5" header="0.2" footer="0.2"/>
  <pageSetup paperSize="9" scale="38" fitToHeight="0" orientation="landscape" horizontalDpi="300" verticalDpi="300"/>
  <headerFooter>
    <oddHeader>&amp;C&amp;"TH Sarabun New,Bold"&amp;10 บัญชีรายการชุดข้อมูลพื้นฐาน — Workshop Verification</oddHeader>
    <oddFooter>&amp;L&amp;9 &amp;D&amp;R&amp;9 หน้า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V38"/>
  <sheetViews>
    <sheetView zoomScaleNormal="100" workbookViewId="0">
      <pane ySplit="1" topLeftCell="A21" activePane="bottomLeft" state="frozen"/>
      <selection pane="bottomLeft" activeCell="B30" sqref="B30"/>
    </sheetView>
  </sheetViews>
  <sheetFormatPr defaultColWidth="10.85546875" defaultRowHeight="20.25" customHeight="1" x14ac:dyDescent="0.55000000000000004"/>
  <cols>
    <col min="1" max="1" width="10.85546875" style="1" customWidth="1"/>
    <col min="2" max="2" width="74.42578125" style="1" customWidth="1"/>
    <col min="3" max="15" width="10.85546875" style="1" customWidth="1"/>
    <col min="16" max="16" width="19" style="1" customWidth="1"/>
    <col min="17" max="17" width="10.85546875" style="1" customWidth="1"/>
    <col min="18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619</v>
      </c>
      <c r="B2" s="1" t="s">
        <v>620</v>
      </c>
      <c r="C2" s="1" t="s">
        <v>327</v>
      </c>
      <c r="D2" s="1" t="s">
        <v>402</v>
      </c>
      <c r="E2" s="1" t="s">
        <v>403</v>
      </c>
      <c r="F2" s="1" t="s">
        <v>621</v>
      </c>
      <c r="G2" s="1" t="s">
        <v>380</v>
      </c>
      <c r="H2" s="1" t="s">
        <v>351</v>
      </c>
      <c r="I2" s="1" t="s">
        <v>622</v>
      </c>
      <c r="J2" s="1" t="s">
        <v>439</v>
      </c>
      <c r="K2" s="1" t="s">
        <v>623</v>
      </c>
      <c r="L2" s="1" t="s">
        <v>353</v>
      </c>
      <c r="M2" s="1" t="s">
        <v>624</v>
      </c>
      <c r="N2" s="1" t="s">
        <v>625</v>
      </c>
      <c r="O2" s="1" t="s">
        <v>139</v>
      </c>
      <c r="P2" s="23" t="s">
        <v>283</v>
      </c>
      <c r="Q2" s="1" t="s">
        <v>626</v>
      </c>
      <c r="R2" s="1" t="s">
        <v>627</v>
      </c>
      <c r="S2" s="40" t="s">
        <v>282</v>
      </c>
      <c r="T2" s="40" t="s">
        <v>135</v>
      </c>
      <c r="U2" s="40" t="s">
        <v>139</v>
      </c>
      <c r="V2" s="40"/>
    </row>
    <row r="3" spans="1:22" ht="24" x14ac:dyDescent="0.55000000000000004">
      <c r="A3" s="1" t="s">
        <v>628</v>
      </c>
      <c r="B3" s="1" t="s">
        <v>629</v>
      </c>
      <c r="C3" s="1" t="s">
        <v>327</v>
      </c>
      <c r="D3" s="1" t="s">
        <v>402</v>
      </c>
      <c r="E3" s="1" t="s">
        <v>403</v>
      </c>
      <c r="F3" s="1" t="s">
        <v>630</v>
      </c>
      <c r="G3" s="1" t="s">
        <v>380</v>
      </c>
      <c r="H3" s="1" t="s">
        <v>351</v>
      </c>
      <c r="I3" s="1" t="s">
        <v>622</v>
      </c>
      <c r="J3" s="1" t="s">
        <v>439</v>
      </c>
      <c r="K3" s="1" t="s">
        <v>352</v>
      </c>
      <c r="L3" s="1" t="s">
        <v>353</v>
      </c>
      <c r="M3" s="1" t="s">
        <v>624</v>
      </c>
      <c r="N3" s="1" t="s">
        <v>625</v>
      </c>
      <c r="O3" s="1" t="s">
        <v>139</v>
      </c>
      <c r="P3" s="23" t="s">
        <v>283</v>
      </c>
      <c r="Q3" s="1" t="s">
        <v>626</v>
      </c>
      <c r="R3" s="1" t="s">
        <v>627</v>
      </c>
      <c r="S3" s="40" t="s">
        <v>282</v>
      </c>
      <c r="T3" s="40" t="s">
        <v>135</v>
      </c>
      <c r="U3" s="40" t="s">
        <v>139</v>
      </c>
      <c r="V3" s="40"/>
    </row>
    <row r="4" spans="1:22" ht="24" x14ac:dyDescent="0.55000000000000004">
      <c r="A4" s="1" t="s">
        <v>631</v>
      </c>
      <c r="B4" s="1" t="s">
        <v>632</v>
      </c>
      <c r="C4" s="1" t="s">
        <v>327</v>
      </c>
      <c r="D4" s="1" t="s">
        <v>402</v>
      </c>
      <c r="E4" s="1" t="s">
        <v>403</v>
      </c>
      <c r="F4" s="1" t="s">
        <v>393</v>
      </c>
      <c r="G4" s="1" t="s">
        <v>380</v>
      </c>
      <c r="H4" s="1" t="s">
        <v>351</v>
      </c>
      <c r="I4" s="1" t="s">
        <v>622</v>
      </c>
      <c r="J4" s="1" t="s">
        <v>633</v>
      </c>
      <c r="K4" s="1" t="s">
        <v>343</v>
      </c>
      <c r="L4" s="1" t="s">
        <v>353</v>
      </c>
      <c r="M4" s="1" t="s">
        <v>624</v>
      </c>
      <c r="N4" s="1" t="s">
        <v>625</v>
      </c>
      <c r="O4" s="1" t="s">
        <v>139</v>
      </c>
      <c r="P4" s="23" t="s">
        <v>283</v>
      </c>
      <c r="Q4" s="1" t="s">
        <v>626</v>
      </c>
      <c r="R4" s="1" t="s">
        <v>627</v>
      </c>
      <c r="S4" s="40" t="s">
        <v>282</v>
      </c>
      <c r="T4" s="40" t="s">
        <v>135</v>
      </c>
      <c r="U4" s="40" t="s">
        <v>139</v>
      </c>
      <c r="V4" s="40"/>
    </row>
    <row r="5" spans="1:22" ht="24" x14ac:dyDescent="0.55000000000000004">
      <c r="A5" s="1" t="s">
        <v>634</v>
      </c>
      <c r="B5" s="1" t="s">
        <v>635</v>
      </c>
      <c r="C5" s="1" t="s">
        <v>327</v>
      </c>
      <c r="D5" s="1" t="s">
        <v>402</v>
      </c>
      <c r="E5" s="1" t="s">
        <v>403</v>
      </c>
      <c r="F5" s="1" t="s">
        <v>636</v>
      </c>
      <c r="G5" s="1" t="s">
        <v>380</v>
      </c>
      <c r="H5" s="1" t="s">
        <v>351</v>
      </c>
      <c r="I5" s="1" t="s">
        <v>622</v>
      </c>
      <c r="J5" s="1" t="s">
        <v>448</v>
      </c>
      <c r="K5" s="1" t="s">
        <v>343</v>
      </c>
      <c r="L5" s="1" t="s">
        <v>353</v>
      </c>
      <c r="M5" s="1" t="s">
        <v>624</v>
      </c>
      <c r="N5" s="1" t="s">
        <v>625</v>
      </c>
      <c r="O5" s="1" t="s">
        <v>139</v>
      </c>
      <c r="P5" s="23" t="s">
        <v>283</v>
      </c>
      <c r="Q5" s="1" t="s">
        <v>626</v>
      </c>
      <c r="R5" s="1" t="s">
        <v>627</v>
      </c>
      <c r="S5" s="40" t="s">
        <v>282</v>
      </c>
      <c r="T5" s="40" t="s">
        <v>135</v>
      </c>
      <c r="U5" s="40" t="s">
        <v>139</v>
      </c>
      <c r="V5" s="40"/>
    </row>
    <row r="6" spans="1:22" ht="24" x14ac:dyDescent="0.55000000000000004">
      <c r="A6" s="1" t="s">
        <v>637</v>
      </c>
      <c r="B6" s="1" t="s">
        <v>638</v>
      </c>
      <c r="C6" s="1" t="s">
        <v>327</v>
      </c>
      <c r="D6" s="1" t="s">
        <v>402</v>
      </c>
      <c r="E6" s="1" t="s">
        <v>403</v>
      </c>
      <c r="F6" s="1" t="s">
        <v>639</v>
      </c>
      <c r="G6" s="1" t="s">
        <v>380</v>
      </c>
      <c r="H6" s="1" t="s">
        <v>351</v>
      </c>
      <c r="I6" s="1" t="s">
        <v>622</v>
      </c>
      <c r="J6" s="1" t="s">
        <v>459</v>
      </c>
      <c r="K6" s="1" t="s">
        <v>343</v>
      </c>
      <c r="L6" s="1" t="s">
        <v>353</v>
      </c>
      <c r="M6" s="1" t="s">
        <v>624</v>
      </c>
      <c r="N6" s="1" t="s">
        <v>625</v>
      </c>
      <c r="O6" s="1" t="s">
        <v>139</v>
      </c>
      <c r="P6" s="23" t="s">
        <v>283</v>
      </c>
      <c r="Q6" s="1" t="s">
        <v>626</v>
      </c>
      <c r="R6" s="1" t="s">
        <v>640</v>
      </c>
      <c r="S6" s="40" t="s">
        <v>282</v>
      </c>
      <c r="T6" s="40" t="s">
        <v>135</v>
      </c>
      <c r="U6" s="40" t="s">
        <v>139</v>
      </c>
      <c r="V6" s="40"/>
    </row>
    <row r="7" spans="1:22" ht="24" x14ac:dyDescent="0.55000000000000004">
      <c r="A7" s="1" t="s">
        <v>641</v>
      </c>
      <c r="B7" s="1" t="s">
        <v>642</v>
      </c>
      <c r="C7" s="1" t="s">
        <v>327</v>
      </c>
      <c r="D7" s="1" t="s">
        <v>402</v>
      </c>
      <c r="E7" s="1" t="s">
        <v>403</v>
      </c>
      <c r="F7" s="1" t="s">
        <v>393</v>
      </c>
      <c r="G7" s="1" t="s">
        <v>380</v>
      </c>
      <c r="H7" s="1" t="s">
        <v>351</v>
      </c>
      <c r="I7" s="1" t="s">
        <v>622</v>
      </c>
      <c r="J7" s="1" t="s">
        <v>643</v>
      </c>
      <c r="K7" s="1" t="s">
        <v>343</v>
      </c>
      <c r="L7" s="1" t="s">
        <v>353</v>
      </c>
      <c r="M7" s="1" t="s">
        <v>624</v>
      </c>
      <c r="N7" s="1" t="s">
        <v>625</v>
      </c>
      <c r="O7" s="1" t="s">
        <v>139</v>
      </c>
      <c r="P7" s="23" t="s">
        <v>283</v>
      </c>
      <c r="Q7" s="1" t="s">
        <v>626</v>
      </c>
      <c r="R7" s="1" t="s">
        <v>644</v>
      </c>
      <c r="S7" s="40" t="s">
        <v>282</v>
      </c>
      <c r="T7" s="40" t="s">
        <v>135</v>
      </c>
      <c r="U7" s="40" t="s">
        <v>139</v>
      </c>
      <c r="V7" s="40"/>
    </row>
    <row r="8" spans="1:22" ht="20.25" customHeight="1" x14ac:dyDescent="0.55000000000000004">
      <c r="A8" s="1" t="s">
        <v>645</v>
      </c>
      <c r="B8" s="1" t="s">
        <v>646</v>
      </c>
      <c r="C8" s="1" t="s">
        <v>327</v>
      </c>
      <c r="D8" s="1" t="s">
        <v>402</v>
      </c>
      <c r="E8" s="1" t="s">
        <v>403</v>
      </c>
      <c r="F8" s="1" t="s">
        <v>371</v>
      </c>
      <c r="G8" s="1" t="s">
        <v>358</v>
      </c>
      <c r="H8" s="1" t="s">
        <v>333</v>
      </c>
      <c r="I8" s="1" t="s">
        <v>647</v>
      </c>
      <c r="J8" s="1" t="s">
        <v>459</v>
      </c>
      <c r="K8" s="1" t="s">
        <v>373</v>
      </c>
      <c r="L8" s="1" t="s">
        <v>353</v>
      </c>
      <c r="M8" s="1" t="s">
        <v>123</v>
      </c>
      <c r="N8" s="1" t="s">
        <v>648</v>
      </c>
      <c r="O8" s="1" t="s">
        <v>122</v>
      </c>
      <c r="P8" s="23" t="s">
        <v>295</v>
      </c>
      <c r="Q8" s="1" t="s">
        <v>649</v>
      </c>
      <c r="R8" s="1" t="s">
        <v>650</v>
      </c>
      <c r="S8" s="40" t="s">
        <v>294</v>
      </c>
      <c r="T8" s="40" t="s">
        <v>135</v>
      </c>
      <c r="U8" s="40" t="s">
        <v>139</v>
      </c>
      <c r="V8" s="40"/>
    </row>
    <row r="9" spans="1:22" ht="20.25" customHeight="1" x14ac:dyDescent="0.55000000000000004">
      <c r="A9" s="1" t="s">
        <v>651</v>
      </c>
      <c r="B9" s="1" t="s">
        <v>652</v>
      </c>
      <c r="C9" s="1" t="s">
        <v>327</v>
      </c>
      <c r="D9" s="1" t="s">
        <v>328</v>
      </c>
      <c r="E9" s="1" t="s">
        <v>329</v>
      </c>
      <c r="F9" s="1" t="s">
        <v>393</v>
      </c>
      <c r="G9" s="1" t="s">
        <v>653</v>
      </c>
      <c r="H9" s="1" t="s">
        <v>333</v>
      </c>
      <c r="I9" s="1" t="s">
        <v>647</v>
      </c>
      <c r="J9" s="1" t="s">
        <v>123</v>
      </c>
      <c r="K9" s="1" t="s">
        <v>373</v>
      </c>
      <c r="L9" s="1" t="s">
        <v>353</v>
      </c>
      <c r="M9" s="1" t="s">
        <v>123</v>
      </c>
      <c r="N9" s="1" t="s">
        <v>648</v>
      </c>
      <c r="O9" s="1" t="s">
        <v>122</v>
      </c>
      <c r="P9" s="23" t="s">
        <v>292</v>
      </c>
      <c r="Q9" s="1" t="s">
        <v>649</v>
      </c>
      <c r="R9" s="1" t="s">
        <v>654</v>
      </c>
      <c r="S9" s="40" t="s">
        <v>291</v>
      </c>
      <c r="T9" s="40" t="s">
        <v>135</v>
      </c>
      <c r="U9" s="40" t="s">
        <v>139</v>
      </c>
      <c r="V9" s="40"/>
    </row>
    <row r="10" spans="1:22" ht="24" x14ac:dyDescent="0.55000000000000004">
      <c r="A10" s="1" t="s">
        <v>655</v>
      </c>
      <c r="B10" s="1" t="s">
        <v>656</v>
      </c>
      <c r="C10" s="1" t="s">
        <v>327</v>
      </c>
      <c r="D10" s="1" t="s">
        <v>328</v>
      </c>
      <c r="E10" s="1" t="s">
        <v>355</v>
      </c>
      <c r="F10" s="1" t="s">
        <v>371</v>
      </c>
      <c r="G10" s="1" t="s">
        <v>380</v>
      </c>
      <c r="H10" s="1" t="s">
        <v>342</v>
      </c>
      <c r="I10" s="1" t="s">
        <v>657</v>
      </c>
      <c r="J10" s="1" t="s">
        <v>123</v>
      </c>
      <c r="K10" s="1" t="s">
        <v>123</v>
      </c>
      <c r="L10" s="1" t="s">
        <v>353</v>
      </c>
      <c r="M10" s="1" t="s">
        <v>367</v>
      </c>
      <c r="N10" s="1" t="s">
        <v>396</v>
      </c>
      <c r="O10" s="1" t="s">
        <v>139</v>
      </c>
      <c r="P10" s="23" t="s">
        <v>286</v>
      </c>
      <c r="Q10" s="1" t="s">
        <v>123</v>
      </c>
      <c r="R10" s="1" t="s">
        <v>658</v>
      </c>
      <c r="S10" s="40" t="s">
        <v>285</v>
      </c>
      <c r="T10" s="40" t="s">
        <v>135</v>
      </c>
      <c r="U10" s="40" t="s">
        <v>139</v>
      </c>
      <c r="V10" s="40"/>
    </row>
    <row r="11" spans="1:22" ht="24" x14ac:dyDescent="0.55000000000000004">
      <c r="A11" s="1" t="s">
        <v>659</v>
      </c>
      <c r="B11" s="1" t="s">
        <v>660</v>
      </c>
      <c r="C11" s="1" t="s">
        <v>327</v>
      </c>
      <c r="D11" s="1" t="s">
        <v>328</v>
      </c>
      <c r="E11" s="1" t="s">
        <v>329</v>
      </c>
      <c r="F11" s="1" t="s">
        <v>393</v>
      </c>
      <c r="G11" s="1" t="s">
        <v>380</v>
      </c>
      <c r="H11" s="1" t="s">
        <v>333</v>
      </c>
      <c r="I11" s="1" t="s">
        <v>123</v>
      </c>
      <c r="J11" s="1" t="s">
        <v>123</v>
      </c>
      <c r="K11" s="1" t="s">
        <v>123</v>
      </c>
      <c r="L11" s="1" t="s">
        <v>661</v>
      </c>
      <c r="M11" s="1" t="s">
        <v>123</v>
      </c>
      <c r="N11" s="1" t="s">
        <v>662</v>
      </c>
      <c r="O11" s="1" t="s">
        <v>123</v>
      </c>
      <c r="P11" s="23" t="s">
        <v>289</v>
      </c>
      <c r="Q11" s="1" t="s">
        <v>123</v>
      </c>
      <c r="R11" s="1" t="s">
        <v>663</v>
      </c>
      <c r="S11" s="40" t="s">
        <v>288</v>
      </c>
      <c r="T11" s="40" t="s">
        <v>135</v>
      </c>
      <c r="U11" s="40" t="s">
        <v>139</v>
      </c>
      <c r="V11" s="40"/>
    </row>
    <row r="12" spans="1:22" ht="24" x14ac:dyDescent="0.55000000000000004">
      <c r="A12" s="1" t="s">
        <v>664</v>
      </c>
      <c r="B12" s="1" t="s">
        <v>665</v>
      </c>
      <c r="C12" s="1" t="s">
        <v>327</v>
      </c>
      <c r="D12" s="1" t="s">
        <v>402</v>
      </c>
      <c r="E12" s="1" t="s">
        <v>403</v>
      </c>
      <c r="F12" s="1" t="s">
        <v>371</v>
      </c>
      <c r="G12" s="1" t="s">
        <v>380</v>
      </c>
      <c r="H12" s="1" t="s">
        <v>333</v>
      </c>
      <c r="I12" s="1" t="s">
        <v>123</v>
      </c>
      <c r="J12" s="1" t="s">
        <v>459</v>
      </c>
      <c r="K12" s="1" t="s">
        <v>373</v>
      </c>
      <c r="L12" s="1" t="s">
        <v>353</v>
      </c>
      <c r="M12" s="1" t="s">
        <v>647</v>
      </c>
      <c r="N12" s="1" t="s">
        <v>647</v>
      </c>
      <c r="O12" s="1" t="s">
        <v>122</v>
      </c>
      <c r="P12" s="1" t="s">
        <v>123</v>
      </c>
      <c r="Q12" s="1" t="s">
        <v>666</v>
      </c>
      <c r="R12" s="1" t="s">
        <v>667</v>
      </c>
      <c r="S12" s="40" t="s">
        <v>131</v>
      </c>
      <c r="T12" s="40" t="s">
        <v>132</v>
      </c>
      <c r="U12" s="40" t="s">
        <v>122</v>
      </c>
      <c r="V12" s="40"/>
    </row>
    <row r="13" spans="1:22" ht="24" x14ac:dyDescent="0.55000000000000004">
      <c r="A13" s="1" t="s">
        <v>668</v>
      </c>
      <c r="B13" s="1" t="s">
        <v>669</v>
      </c>
      <c r="C13" s="1" t="s">
        <v>327</v>
      </c>
      <c r="D13" s="1" t="s">
        <v>402</v>
      </c>
      <c r="E13" s="1" t="s">
        <v>403</v>
      </c>
      <c r="F13" s="1" t="s">
        <v>371</v>
      </c>
      <c r="G13" s="1" t="s">
        <v>380</v>
      </c>
      <c r="H13" s="1" t="s">
        <v>333</v>
      </c>
      <c r="I13" s="1" t="s">
        <v>123</v>
      </c>
      <c r="J13" s="1" t="s">
        <v>459</v>
      </c>
      <c r="K13" s="1" t="s">
        <v>373</v>
      </c>
      <c r="L13" s="1" t="s">
        <v>353</v>
      </c>
      <c r="M13" s="1" t="s">
        <v>647</v>
      </c>
      <c r="N13" s="1" t="s">
        <v>647</v>
      </c>
      <c r="O13" s="1" t="s">
        <v>122</v>
      </c>
      <c r="P13" s="1" t="s">
        <v>123</v>
      </c>
      <c r="Q13" s="1" t="s">
        <v>666</v>
      </c>
      <c r="R13" s="1" t="s">
        <v>670</v>
      </c>
      <c r="S13" s="40" t="s">
        <v>131</v>
      </c>
      <c r="T13" s="40" t="s">
        <v>132</v>
      </c>
      <c r="U13" s="40" t="s">
        <v>122</v>
      </c>
      <c r="V13" s="40"/>
    </row>
    <row r="14" spans="1:22" ht="24" x14ac:dyDescent="0.55000000000000004">
      <c r="A14" s="1" t="s">
        <v>671</v>
      </c>
      <c r="B14" s="1" t="s">
        <v>672</v>
      </c>
      <c r="C14" s="1" t="s">
        <v>327</v>
      </c>
      <c r="D14" s="1" t="s">
        <v>402</v>
      </c>
      <c r="E14" s="1" t="s">
        <v>403</v>
      </c>
      <c r="F14" s="1" t="s">
        <v>371</v>
      </c>
      <c r="G14" s="1" t="s">
        <v>332</v>
      </c>
      <c r="H14" s="1" t="s">
        <v>333</v>
      </c>
      <c r="I14" s="1" t="s">
        <v>123</v>
      </c>
      <c r="J14" s="1" t="s">
        <v>673</v>
      </c>
      <c r="K14" s="1" t="s">
        <v>373</v>
      </c>
      <c r="L14" s="1" t="s">
        <v>353</v>
      </c>
      <c r="M14" s="1" t="s">
        <v>647</v>
      </c>
      <c r="N14" s="1" t="s">
        <v>647</v>
      </c>
      <c r="O14" s="1" t="s">
        <v>122</v>
      </c>
      <c r="P14" s="1" t="s">
        <v>123</v>
      </c>
      <c r="Q14" s="1" t="s">
        <v>666</v>
      </c>
      <c r="R14" s="1" t="s">
        <v>674</v>
      </c>
      <c r="S14" s="40" t="s">
        <v>131</v>
      </c>
      <c r="T14" s="40" t="s">
        <v>132</v>
      </c>
      <c r="U14" s="40" t="s">
        <v>122</v>
      </c>
      <c r="V14" s="40"/>
    </row>
    <row r="15" spans="1:22" ht="24" x14ac:dyDescent="0.55000000000000004">
      <c r="A15" s="1" t="s">
        <v>675</v>
      </c>
      <c r="B15" s="1" t="s">
        <v>676</v>
      </c>
      <c r="C15" s="1" t="s">
        <v>327</v>
      </c>
      <c r="D15" s="1" t="s">
        <v>402</v>
      </c>
      <c r="E15" s="1" t="s">
        <v>403</v>
      </c>
      <c r="F15" s="1" t="s">
        <v>371</v>
      </c>
      <c r="G15" s="1" t="s">
        <v>380</v>
      </c>
      <c r="H15" s="1" t="s">
        <v>333</v>
      </c>
      <c r="I15" s="1" t="s">
        <v>123</v>
      </c>
      <c r="J15" s="1" t="s">
        <v>673</v>
      </c>
      <c r="K15" s="1" t="s">
        <v>373</v>
      </c>
      <c r="L15" s="1" t="s">
        <v>353</v>
      </c>
      <c r="M15" s="1" t="s">
        <v>647</v>
      </c>
      <c r="N15" s="1" t="s">
        <v>647</v>
      </c>
      <c r="O15" s="1" t="s">
        <v>122</v>
      </c>
      <c r="P15" s="1" t="s">
        <v>123</v>
      </c>
      <c r="Q15" s="1" t="s">
        <v>666</v>
      </c>
      <c r="R15" s="1" t="s">
        <v>677</v>
      </c>
      <c r="S15" s="40" t="s">
        <v>131</v>
      </c>
      <c r="T15" s="40" t="s">
        <v>132</v>
      </c>
      <c r="U15" s="40" t="s">
        <v>122</v>
      </c>
      <c r="V15" s="40"/>
    </row>
    <row r="16" spans="1:22" ht="24" x14ac:dyDescent="0.55000000000000004">
      <c r="A16" s="1" t="s">
        <v>678</v>
      </c>
      <c r="B16" s="1" t="s">
        <v>679</v>
      </c>
      <c r="C16" s="1" t="s">
        <v>327</v>
      </c>
      <c r="D16" s="1" t="s">
        <v>402</v>
      </c>
      <c r="E16" s="1" t="s">
        <v>403</v>
      </c>
      <c r="F16" s="1" t="s">
        <v>371</v>
      </c>
      <c r="G16" s="1" t="s">
        <v>380</v>
      </c>
      <c r="H16" s="1" t="s">
        <v>333</v>
      </c>
      <c r="I16" s="1" t="s">
        <v>123</v>
      </c>
      <c r="J16" s="1" t="s">
        <v>680</v>
      </c>
      <c r="K16" s="1" t="s">
        <v>373</v>
      </c>
      <c r="L16" s="1" t="s">
        <v>353</v>
      </c>
      <c r="M16" s="1" t="s">
        <v>647</v>
      </c>
      <c r="N16" s="1" t="s">
        <v>647</v>
      </c>
      <c r="O16" s="1" t="s">
        <v>122</v>
      </c>
      <c r="P16" s="1" t="s">
        <v>123</v>
      </c>
      <c r="Q16" s="1" t="s">
        <v>666</v>
      </c>
      <c r="R16" s="1" t="s">
        <v>681</v>
      </c>
      <c r="S16" s="40" t="s">
        <v>131</v>
      </c>
      <c r="T16" s="40" t="s">
        <v>132</v>
      </c>
      <c r="U16" s="40" t="s">
        <v>122</v>
      </c>
      <c r="V16" s="40"/>
    </row>
    <row r="17" spans="1:22" ht="24" x14ac:dyDescent="0.55000000000000004">
      <c r="A17" s="1" t="s">
        <v>682</v>
      </c>
      <c r="B17" s="1" t="s">
        <v>683</v>
      </c>
      <c r="C17" s="1" t="s">
        <v>327</v>
      </c>
      <c r="D17" s="1" t="s">
        <v>402</v>
      </c>
      <c r="E17" s="1" t="s">
        <v>403</v>
      </c>
      <c r="F17" s="1" t="s">
        <v>371</v>
      </c>
      <c r="G17" s="1" t="s">
        <v>380</v>
      </c>
      <c r="H17" s="1" t="s">
        <v>333</v>
      </c>
      <c r="I17" s="1" t="s">
        <v>123</v>
      </c>
      <c r="J17" s="1" t="s">
        <v>680</v>
      </c>
      <c r="K17" s="1" t="s">
        <v>373</v>
      </c>
      <c r="L17" s="1" t="s">
        <v>353</v>
      </c>
      <c r="M17" s="1" t="s">
        <v>647</v>
      </c>
      <c r="N17" s="1" t="s">
        <v>647</v>
      </c>
      <c r="O17" s="1" t="s">
        <v>122</v>
      </c>
      <c r="P17" s="1" t="s">
        <v>123</v>
      </c>
      <c r="Q17" s="1" t="s">
        <v>666</v>
      </c>
      <c r="R17" s="1" t="s">
        <v>684</v>
      </c>
      <c r="S17" s="40" t="s">
        <v>131</v>
      </c>
      <c r="T17" s="40" t="s">
        <v>132</v>
      </c>
      <c r="U17" s="40" t="s">
        <v>122</v>
      </c>
      <c r="V17" s="40"/>
    </row>
    <row r="18" spans="1:22" ht="24" x14ac:dyDescent="0.55000000000000004">
      <c r="A18" s="1" t="s">
        <v>685</v>
      </c>
      <c r="B18" s="1" t="s">
        <v>686</v>
      </c>
      <c r="C18" s="1" t="s">
        <v>327</v>
      </c>
      <c r="D18" s="1" t="s">
        <v>402</v>
      </c>
      <c r="E18" s="1" t="s">
        <v>403</v>
      </c>
      <c r="F18" s="1" t="s">
        <v>371</v>
      </c>
      <c r="G18" s="1" t="s">
        <v>380</v>
      </c>
      <c r="H18" s="1" t="s">
        <v>333</v>
      </c>
      <c r="I18" s="1" t="s">
        <v>123</v>
      </c>
      <c r="J18" s="1" t="s">
        <v>673</v>
      </c>
      <c r="K18" s="1" t="s">
        <v>373</v>
      </c>
      <c r="L18" s="1" t="s">
        <v>353</v>
      </c>
      <c r="M18" s="1" t="s">
        <v>647</v>
      </c>
      <c r="N18" s="1" t="s">
        <v>647</v>
      </c>
      <c r="O18" s="1" t="s">
        <v>122</v>
      </c>
      <c r="P18" s="1" t="s">
        <v>123</v>
      </c>
      <c r="Q18" s="1" t="s">
        <v>666</v>
      </c>
      <c r="R18" s="1" t="s">
        <v>687</v>
      </c>
      <c r="S18" s="40" t="s">
        <v>131</v>
      </c>
      <c r="T18" s="40" t="s">
        <v>132</v>
      </c>
      <c r="U18" s="40" t="s">
        <v>122</v>
      </c>
      <c r="V18" s="40"/>
    </row>
    <row r="19" spans="1:22" ht="24" x14ac:dyDescent="0.55000000000000004">
      <c r="A19" s="1" t="s">
        <v>688</v>
      </c>
      <c r="B19" s="1" t="s">
        <v>689</v>
      </c>
      <c r="C19" s="1" t="s">
        <v>327</v>
      </c>
      <c r="D19" s="1" t="s">
        <v>402</v>
      </c>
      <c r="E19" s="1" t="s">
        <v>403</v>
      </c>
      <c r="F19" s="1" t="s">
        <v>371</v>
      </c>
      <c r="G19" s="1" t="s">
        <v>380</v>
      </c>
      <c r="H19" s="1" t="s">
        <v>333</v>
      </c>
      <c r="I19" s="1" t="s">
        <v>123</v>
      </c>
      <c r="J19" s="1" t="s">
        <v>673</v>
      </c>
      <c r="K19" s="1" t="s">
        <v>373</v>
      </c>
      <c r="L19" s="1" t="s">
        <v>353</v>
      </c>
      <c r="M19" s="1" t="s">
        <v>647</v>
      </c>
      <c r="N19" s="1" t="s">
        <v>647</v>
      </c>
      <c r="O19" s="1" t="s">
        <v>122</v>
      </c>
      <c r="P19" s="1" t="s">
        <v>123</v>
      </c>
      <c r="Q19" s="1" t="s">
        <v>666</v>
      </c>
      <c r="R19" s="1" t="s">
        <v>690</v>
      </c>
      <c r="S19" s="40" t="s">
        <v>131</v>
      </c>
      <c r="T19" s="40" t="s">
        <v>132</v>
      </c>
      <c r="U19" s="40" t="s">
        <v>122</v>
      </c>
      <c r="V19" s="40"/>
    </row>
    <row r="20" spans="1:22" ht="24" x14ac:dyDescent="0.55000000000000004">
      <c r="A20" s="1" t="s">
        <v>691</v>
      </c>
      <c r="B20" s="1" t="s">
        <v>692</v>
      </c>
      <c r="C20" s="1" t="s">
        <v>327</v>
      </c>
      <c r="D20" s="1" t="s">
        <v>402</v>
      </c>
      <c r="E20" s="1" t="s">
        <v>403</v>
      </c>
      <c r="F20" s="1" t="s">
        <v>364</v>
      </c>
      <c r="G20" s="1" t="s">
        <v>380</v>
      </c>
      <c r="H20" s="1" t="s">
        <v>333</v>
      </c>
      <c r="I20" s="1" t="s">
        <v>123</v>
      </c>
      <c r="J20" s="1" t="s">
        <v>439</v>
      </c>
      <c r="K20" s="1" t="s">
        <v>373</v>
      </c>
      <c r="L20" s="1" t="s">
        <v>353</v>
      </c>
      <c r="M20" s="1" t="s">
        <v>647</v>
      </c>
      <c r="N20" s="1" t="s">
        <v>647</v>
      </c>
      <c r="O20" s="1" t="s">
        <v>122</v>
      </c>
      <c r="P20" s="1" t="s">
        <v>123</v>
      </c>
      <c r="Q20" s="1" t="s">
        <v>666</v>
      </c>
      <c r="R20" s="1" t="s">
        <v>693</v>
      </c>
      <c r="S20" s="40" t="s">
        <v>131</v>
      </c>
      <c r="T20" s="40" t="s">
        <v>132</v>
      </c>
      <c r="U20" s="40" t="s">
        <v>122</v>
      </c>
      <c r="V20" s="40"/>
    </row>
    <row r="21" spans="1:22" ht="24" x14ac:dyDescent="0.55000000000000004">
      <c r="A21" s="1" t="s">
        <v>694</v>
      </c>
      <c r="B21" s="1" t="s">
        <v>695</v>
      </c>
      <c r="C21" s="1" t="s">
        <v>327</v>
      </c>
      <c r="D21" s="1" t="s">
        <v>402</v>
      </c>
      <c r="E21" s="1" t="s">
        <v>403</v>
      </c>
      <c r="F21" s="1" t="s">
        <v>364</v>
      </c>
      <c r="G21" s="1" t="s">
        <v>380</v>
      </c>
      <c r="H21" s="1" t="s">
        <v>333</v>
      </c>
      <c r="I21" s="1" t="s">
        <v>123</v>
      </c>
      <c r="J21" s="1" t="s">
        <v>439</v>
      </c>
      <c r="K21" s="1" t="s">
        <v>373</v>
      </c>
      <c r="L21" s="1" t="s">
        <v>353</v>
      </c>
      <c r="M21" s="1" t="s">
        <v>647</v>
      </c>
      <c r="N21" s="1" t="s">
        <v>647</v>
      </c>
      <c r="O21" s="1" t="s">
        <v>122</v>
      </c>
      <c r="P21" s="1" t="s">
        <v>123</v>
      </c>
      <c r="Q21" s="1" t="s">
        <v>666</v>
      </c>
      <c r="R21" s="1" t="s">
        <v>696</v>
      </c>
      <c r="S21" s="40" t="s">
        <v>131</v>
      </c>
      <c r="T21" s="40" t="s">
        <v>132</v>
      </c>
      <c r="U21" s="40" t="s">
        <v>122</v>
      </c>
      <c r="V21" s="40"/>
    </row>
    <row r="22" spans="1:22" ht="24" x14ac:dyDescent="0.55000000000000004">
      <c r="A22" s="1" t="s">
        <v>697</v>
      </c>
      <c r="B22" s="1" t="s">
        <v>698</v>
      </c>
      <c r="C22" s="1" t="s">
        <v>327</v>
      </c>
      <c r="D22" s="1" t="s">
        <v>402</v>
      </c>
      <c r="E22" s="1" t="s">
        <v>403</v>
      </c>
      <c r="F22" s="1" t="s">
        <v>364</v>
      </c>
      <c r="G22" s="1" t="s">
        <v>380</v>
      </c>
      <c r="H22" s="1" t="s">
        <v>333</v>
      </c>
      <c r="I22" s="1" t="s">
        <v>123</v>
      </c>
      <c r="J22" s="1" t="s">
        <v>699</v>
      </c>
      <c r="K22" s="1" t="s">
        <v>373</v>
      </c>
      <c r="L22" s="1" t="s">
        <v>353</v>
      </c>
      <c r="M22" s="1" t="s">
        <v>647</v>
      </c>
      <c r="N22" s="1" t="s">
        <v>647</v>
      </c>
      <c r="O22" s="1" t="s">
        <v>122</v>
      </c>
      <c r="P22" s="1" t="s">
        <v>123</v>
      </c>
      <c r="Q22" s="1" t="s">
        <v>666</v>
      </c>
      <c r="R22" s="1" t="s">
        <v>700</v>
      </c>
      <c r="S22" s="40" t="s">
        <v>131</v>
      </c>
      <c r="T22" s="40" t="s">
        <v>132</v>
      </c>
      <c r="U22" s="40" t="s">
        <v>122</v>
      </c>
      <c r="V22" s="40"/>
    </row>
    <row r="23" spans="1:22" ht="24" x14ac:dyDescent="0.55000000000000004">
      <c r="A23" s="1" t="s">
        <v>701</v>
      </c>
      <c r="B23" s="1" t="s">
        <v>702</v>
      </c>
      <c r="C23" s="1" t="s">
        <v>327</v>
      </c>
      <c r="D23" s="1" t="s">
        <v>402</v>
      </c>
      <c r="E23" s="1" t="s">
        <v>403</v>
      </c>
      <c r="F23" s="1" t="s">
        <v>364</v>
      </c>
      <c r="G23" s="1" t="s">
        <v>380</v>
      </c>
      <c r="H23" s="1" t="s">
        <v>333</v>
      </c>
      <c r="I23" s="1" t="s">
        <v>123</v>
      </c>
      <c r="J23" s="1" t="s">
        <v>439</v>
      </c>
      <c r="K23" s="1" t="s">
        <v>373</v>
      </c>
      <c r="L23" s="1" t="s">
        <v>353</v>
      </c>
      <c r="M23" s="1" t="s">
        <v>647</v>
      </c>
      <c r="N23" s="1" t="s">
        <v>647</v>
      </c>
      <c r="O23" s="1" t="s">
        <v>122</v>
      </c>
      <c r="P23" s="1" t="s">
        <v>123</v>
      </c>
      <c r="Q23" s="1" t="s">
        <v>666</v>
      </c>
      <c r="R23" s="1" t="s">
        <v>703</v>
      </c>
      <c r="S23" s="40" t="s">
        <v>131</v>
      </c>
      <c r="T23" s="40" t="s">
        <v>132</v>
      </c>
      <c r="U23" s="40" t="s">
        <v>122</v>
      </c>
      <c r="V23" s="40"/>
    </row>
    <row r="24" spans="1:22" ht="24" x14ac:dyDescent="0.55000000000000004">
      <c r="A24" s="1" t="s">
        <v>704</v>
      </c>
      <c r="B24" s="1" t="s">
        <v>705</v>
      </c>
      <c r="C24" s="1" t="s">
        <v>327</v>
      </c>
      <c r="D24" s="1" t="s">
        <v>402</v>
      </c>
      <c r="E24" s="1" t="s">
        <v>403</v>
      </c>
      <c r="F24" s="1" t="s">
        <v>364</v>
      </c>
      <c r="G24" s="1" t="s">
        <v>380</v>
      </c>
      <c r="H24" s="1" t="s">
        <v>333</v>
      </c>
      <c r="I24" s="1" t="s">
        <v>123</v>
      </c>
      <c r="J24" s="1" t="s">
        <v>439</v>
      </c>
      <c r="K24" s="1" t="s">
        <v>373</v>
      </c>
      <c r="L24" s="1" t="s">
        <v>353</v>
      </c>
      <c r="M24" s="1" t="s">
        <v>647</v>
      </c>
      <c r="N24" s="1" t="s">
        <v>647</v>
      </c>
      <c r="O24" s="1" t="s">
        <v>122</v>
      </c>
      <c r="P24" s="1" t="s">
        <v>123</v>
      </c>
      <c r="Q24" s="1" t="s">
        <v>666</v>
      </c>
      <c r="R24" s="1" t="s">
        <v>706</v>
      </c>
      <c r="S24" s="40" t="s">
        <v>131</v>
      </c>
      <c r="T24" s="40" t="s">
        <v>132</v>
      </c>
      <c r="U24" s="40" t="s">
        <v>122</v>
      </c>
      <c r="V24" s="40"/>
    </row>
    <row r="25" spans="1:22" ht="24" x14ac:dyDescent="0.55000000000000004">
      <c r="A25" s="1" t="s">
        <v>707</v>
      </c>
      <c r="B25" s="1" t="s">
        <v>708</v>
      </c>
      <c r="C25" s="1" t="s">
        <v>327</v>
      </c>
      <c r="D25" s="1" t="s">
        <v>402</v>
      </c>
      <c r="E25" s="1" t="s">
        <v>403</v>
      </c>
      <c r="F25" s="1" t="s">
        <v>364</v>
      </c>
      <c r="G25" s="1" t="s">
        <v>380</v>
      </c>
      <c r="H25" s="1" t="s">
        <v>333</v>
      </c>
      <c r="I25" s="1" t="s">
        <v>123</v>
      </c>
      <c r="J25" s="1" t="s">
        <v>439</v>
      </c>
      <c r="K25" s="1" t="s">
        <v>373</v>
      </c>
      <c r="L25" s="1" t="s">
        <v>353</v>
      </c>
      <c r="M25" s="1" t="s">
        <v>647</v>
      </c>
      <c r="N25" s="1" t="s">
        <v>647</v>
      </c>
      <c r="O25" s="1" t="s">
        <v>122</v>
      </c>
      <c r="P25" s="1" t="s">
        <v>123</v>
      </c>
      <c r="Q25" s="1" t="s">
        <v>666</v>
      </c>
      <c r="R25" s="1" t="s">
        <v>709</v>
      </c>
      <c r="S25" s="40" t="s">
        <v>131</v>
      </c>
      <c r="T25" s="40" t="s">
        <v>132</v>
      </c>
      <c r="U25" s="40" t="s">
        <v>122</v>
      </c>
      <c r="V25" s="40"/>
    </row>
    <row r="26" spans="1:22" ht="24" x14ac:dyDescent="0.55000000000000004">
      <c r="A26" s="1" t="s">
        <v>710</v>
      </c>
      <c r="B26" s="1" t="s">
        <v>711</v>
      </c>
      <c r="C26" s="1" t="s">
        <v>327</v>
      </c>
      <c r="D26" s="1" t="s">
        <v>402</v>
      </c>
      <c r="E26" s="1" t="s">
        <v>403</v>
      </c>
      <c r="F26" s="1" t="s">
        <v>364</v>
      </c>
      <c r="G26" s="1" t="s">
        <v>380</v>
      </c>
      <c r="H26" s="1" t="s">
        <v>333</v>
      </c>
      <c r="I26" s="1" t="s">
        <v>123</v>
      </c>
      <c r="J26" s="1" t="s">
        <v>673</v>
      </c>
      <c r="K26" s="1" t="s">
        <v>373</v>
      </c>
      <c r="L26" s="1" t="s">
        <v>353</v>
      </c>
      <c r="M26" s="1" t="s">
        <v>647</v>
      </c>
      <c r="N26" s="1" t="s">
        <v>647</v>
      </c>
      <c r="O26" s="1" t="s">
        <v>122</v>
      </c>
      <c r="P26" s="1" t="s">
        <v>123</v>
      </c>
      <c r="Q26" s="1" t="s">
        <v>666</v>
      </c>
      <c r="R26" s="1" t="s">
        <v>712</v>
      </c>
      <c r="S26" s="40" t="s">
        <v>131</v>
      </c>
      <c r="T26" s="40" t="s">
        <v>132</v>
      </c>
      <c r="U26" s="40" t="s">
        <v>122</v>
      </c>
      <c r="V26" s="40"/>
    </row>
    <row r="27" spans="1:22" ht="24" x14ac:dyDescent="0.55000000000000004">
      <c r="A27" s="1" t="s">
        <v>713</v>
      </c>
      <c r="B27" s="1" t="s">
        <v>714</v>
      </c>
      <c r="C27" s="1" t="s">
        <v>327</v>
      </c>
      <c r="D27" s="1" t="s">
        <v>402</v>
      </c>
      <c r="E27" s="1" t="s">
        <v>403</v>
      </c>
      <c r="F27" s="1" t="s">
        <v>357</v>
      </c>
      <c r="G27" s="1" t="s">
        <v>380</v>
      </c>
      <c r="H27" s="1" t="s">
        <v>333</v>
      </c>
      <c r="I27" s="1" t="s">
        <v>123</v>
      </c>
      <c r="J27" s="1" t="s">
        <v>673</v>
      </c>
      <c r="K27" s="1" t="s">
        <v>373</v>
      </c>
      <c r="L27" s="1" t="s">
        <v>353</v>
      </c>
      <c r="M27" s="1" t="s">
        <v>647</v>
      </c>
      <c r="N27" s="1" t="s">
        <v>647</v>
      </c>
      <c r="O27" s="1" t="s">
        <v>122</v>
      </c>
      <c r="P27" s="1" t="s">
        <v>123</v>
      </c>
      <c r="Q27" s="1" t="s">
        <v>666</v>
      </c>
      <c r="R27" s="1" t="s">
        <v>715</v>
      </c>
      <c r="S27" s="40" t="s">
        <v>131</v>
      </c>
      <c r="T27" s="40" t="s">
        <v>132</v>
      </c>
      <c r="U27" s="40" t="s">
        <v>122</v>
      </c>
      <c r="V27" s="40"/>
    </row>
    <row r="28" spans="1:22" ht="24" x14ac:dyDescent="0.55000000000000004">
      <c r="A28" s="1" t="s">
        <v>716</v>
      </c>
      <c r="B28" s="1" t="s">
        <v>717</v>
      </c>
      <c r="C28" s="1" t="s">
        <v>327</v>
      </c>
      <c r="D28" s="1" t="s">
        <v>402</v>
      </c>
      <c r="E28" s="1" t="s">
        <v>403</v>
      </c>
      <c r="F28" s="1" t="s">
        <v>364</v>
      </c>
      <c r="G28" s="1" t="s">
        <v>380</v>
      </c>
      <c r="H28" s="1" t="s">
        <v>333</v>
      </c>
      <c r="I28" s="1" t="s">
        <v>123</v>
      </c>
      <c r="J28" s="1" t="s">
        <v>673</v>
      </c>
      <c r="K28" s="1" t="s">
        <v>373</v>
      </c>
      <c r="L28" s="1" t="s">
        <v>353</v>
      </c>
      <c r="M28" s="1" t="s">
        <v>647</v>
      </c>
      <c r="N28" s="1" t="s">
        <v>647</v>
      </c>
      <c r="O28" s="1" t="s">
        <v>122</v>
      </c>
      <c r="P28" s="1" t="s">
        <v>123</v>
      </c>
      <c r="Q28" s="1" t="s">
        <v>666</v>
      </c>
      <c r="R28" s="1" t="s">
        <v>718</v>
      </c>
      <c r="S28" s="40" t="s">
        <v>131</v>
      </c>
      <c r="T28" s="40" t="s">
        <v>132</v>
      </c>
      <c r="U28" s="40" t="s">
        <v>122</v>
      </c>
      <c r="V28" s="40"/>
    </row>
    <row r="29" spans="1:22" ht="24" x14ac:dyDescent="0.55000000000000004">
      <c r="A29" s="1" t="s">
        <v>719</v>
      </c>
      <c r="B29" s="1" t="s">
        <v>720</v>
      </c>
      <c r="C29" s="1" t="s">
        <v>327</v>
      </c>
      <c r="D29" s="1" t="s">
        <v>402</v>
      </c>
      <c r="E29" s="1" t="s">
        <v>403</v>
      </c>
      <c r="F29" s="1" t="s">
        <v>364</v>
      </c>
      <c r="G29" s="1" t="s">
        <v>380</v>
      </c>
      <c r="H29" s="1" t="s">
        <v>333</v>
      </c>
      <c r="I29" s="1" t="s">
        <v>123</v>
      </c>
      <c r="J29" s="1" t="s">
        <v>673</v>
      </c>
      <c r="K29" s="1" t="s">
        <v>373</v>
      </c>
      <c r="L29" s="1" t="s">
        <v>353</v>
      </c>
      <c r="M29" s="1" t="s">
        <v>647</v>
      </c>
      <c r="N29" s="1" t="s">
        <v>647</v>
      </c>
      <c r="O29" s="1" t="s">
        <v>122</v>
      </c>
      <c r="P29" s="1" t="s">
        <v>123</v>
      </c>
      <c r="Q29" s="1" t="s">
        <v>666</v>
      </c>
      <c r="R29" s="1" t="s">
        <v>721</v>
      </c>
      <c r="S29" s="40" t="s">
        <v>131</v>
      </c>
      <c r="T29" s="40" t="s">
        <v>132</v>
      </c>
      <c r="U29" s="40" t="s">
        <v>122</v>
      </c>
      <c r="V29" s="40"/>
    </row>
    <row r="30" spans="1:22" ht="24" x14ac:dyDescent="0.55000000000000004">
      <c r="A30" s="1" t="s">
        <v>722</v>
      </c>
      <c r="B30" s="1" t="s">
        <v>723</v>
      </c>
      <c r="C30" s="1" t="s">
        <v>327</v>
      </c>
      <c r="D30" s="1" t="s">
        <v>402</v>
      </c>
      <c r="E30" s="1" t="s">
        <v>403</v>
      </c>
      <c r="F30" s="1" t="s">
        <v>724</v>
      </c>
      <c r="G30" s="1" t="s">
        <v>380</v>
      </c>
      <c r="H30" s="1" t="s">
        <v>333</v>
      </c>
      <c r="I30" s="1" t="s">
        <v>123</v>
      </c>
      <c r="J30" s="1" t="s">
        <v>123</v>
      </c>
      <c r="K30" s="1" t="s">
        <v>359</v>
      </c>
      <c r="L30" s="1" t="s">
        <v>353</v>
      </c>
      <c r="M30" s="1" t="s">
        <v>647</v>
      </c>
      <c r="N30" s="1" t="s">
        <v>647</v>
      </c>
      <c r="O30" s="1" t="s">
        <v>122</v>
      </c>
      <c r="P30" s="1" t="s">
        <v>123</v>
      </c>
      <c r="Q30" s="1" t="s">
        <v>666</v>
      </c>
      <c r="R30" s="1" t="s">
        <v>725</v>
      </c>
      <c r="S30" s="40" t="s">
        <v>131</v>
      </c>
      <c r="T30" s="40" t="s">
        <v>132</v>
      </c>
      <c r="U30" s="40" t="s">
        <v>122</v>
      </c>
      <c r="V30" s="40"/>
    </row>
    <row r="31" spans="1:22" ht="24" x14ac:dyDescent="0.55000000000000004">
      <c r="A31" s="1" t="s">
        <v>726</v>
      </c>
      <c r="B31" s="1" t="s">
        <v>727</v>
      </c>
      <c r="C31" s="1" t="s">
        <v>327</v>
      </c>
      <c r="D31" s="1" t="s">
        <v>402</v>
      </c>
      <c r="E31" s="1" t="s">
        <v>403</v>
      </c>
      <c r="F31" s="1" t="s">
        <v>724</v>
      </c>
      <c r="G31" s="1" t="s">
        <v>380</v>
      </c>
      <c r="H31" s="1" t="s">
        <v>333</v>
      </c>
      <c r="I31" s="1" t="s">
        <v>123</v>
      </c>
      <c r="J31" s="1" t="s">
        <v>728</v>
      </c>
      <c r="K31" s="1" t="s">
        <v>373</v>
      </c>
      <c r="L31" s="1" t="s">
        <v>353</v>
      </c>
      <c r="M31" s="1" t="s">
        <v>647</v>
      </c>
      <c r="N31" s="1" t="s">
        <v>647</v>
      </c>
      <c r="O31" s="1" t="s">
        <v>122</v>
      </c>
      <c r="P31" s="1" t="s">
        <v>123</v>
      </c>
      <c r="Q31" s="1" t="s">
        <v>666</v>
      </c>
      <c r="R31" s="1" t="s">
        <v>729</v>
      </c>
      <c r="S31" s="40" t="s">
        <v>131</v>
      </c>
      <c r="T31" s="40" t="s">
        <v>132</v>
      </c>
      <c r="U31" s="40" t="s">
        <v>122</v>
      </c>
      <c r="V31" s="40"/>
    </row>
    <row r="32" spans="1:22" ht="24" x14ac:dyDescent="0.55000000000000004">
      <c r="A32" s="1" t="s">
        <v>730</v>
      </c>
      <c r="B32" s="1" t="s">
        <v>731</v>
      </c>
      <c r="C32" s="1" t="s">
        <v>327</v>
      </c>
      <c r="D32" s="1" t="s">
        <v>402</v>
      </c>
      <c r="E32" s="1" t="s">
        <v>403</v>
      </c>
      <c r="F32" s="1" t="s">
        <v>724</v>
      </c>
      <c r="G32" s="1" t="s">
        <v>732</v>
      </c>
      <c r="H32" s="1" t="s">
        <v>333</v>
      </c>
      <c r="I32" s="1" t="s">
        <v>123</v>
      </c>
      <c r="J32" s="1" t="s">
        <v>728</v>
      </c>
      <c r="K32" s="1" t="s">
        <v>373</v>
      </c>
      <c r="L32" s="1" t="s">
        <v>353</v>
      </c>
      <c r="M32" s="1" t="s">
        <v>647</v>
      </c>
      <c r="N32" s="1" t="s">
        <v>647</v>
      </c>
      <c r="O32" s="1" t="s">
        <v>122</v>
      </c>
      <c r="P32" s="1" t="s">
        <v>123</v>
      </c>
      <c r="Q32" s="1" t="s">
        <v>666</v>
      </c>
      <c r="R32" s="1" t="s">
        <v>733</v>
      </c>
      <c r="S32" s="40" t="s">
        <v>131</v>
      </c>
      <c r="T32" s="40" t="s">
        <v>132</v>
      </c>
      <c r="U32" s="40" t="s">
        <v>122</v>
      </c>
      <c r="V32" s="40"/>
    </row>
    <row r="33" spans="1:22" ht="24" x14ac:dyDescent="0.55000000000000004">
      <c r="A33" s="1" t="s">
        <v>734</v>
      </c>
      <c r="B33" s="1" t="s">
        <v>735</v>
      </c>
      <c r="C33" s="1" t="s">
        <v>327</v>
      </c>
      <c r="D33" s="1" t="s">
        <v>405</v>
      </c>
      <c r="E33" s="1" t="s">
        <v>406</v>
      </c>
      <c r="F33" s="1" t="s">
        <v>371</v>
      </c>
      <c r="G33" s="1" t="s">
        <v>380</v>
      </c>
      <c r="H33" s="1" t="s">
        <v>333</v>
      </c>
      <c r="I33" s="1" t="s">
        <v>123</v>
      </c>
      <c r="J33" s="1" t="s">
        <v>123</v>
      </c>
      <c r="K33" s="1" t="s">
        <v>373</v>
      </c>
      <c r="L33" s="1" t="s">
        <v>353</v>
      </c>
      <c r="M33" s="1" t="s">
        <v>647</v>
      </c>
      <c r="N33" s="1" t="s">
        <v>647</v>
      </c>
      <c r="O33" s="1" t="s">
        <v>122</v>
      </c>
      <c r="P33" s="1" t="s">
        <v>123</v>
      </c>
      <c r="Q33" s="1" t="s">
        <v>666</v>
      </c>
      <c r="R33" s="1" t="s">
        <v>736</v>
      </c>
      <c r="S33" s="40" t="s">
        <v>131</v>
      </c>
      <c r="T33" s="40" t="s">
        <v>132</v>
      </c>
      <c r="U33" s="40" t="s">
        <v>122</v>
      </c>
      <c r="V33" s="40"/>
    </row>
    <row r="34" spans="1:22" ht="24" x14ac:dyDescent="0.55000000000000004">
      <c r="A34" s="1" t="s">
        <v>737</v>
      </c>
      <c r="B34" s="1" t="s">
        <v>738</v>
      </c>
      <c r="C34" s="1" t="s">
        <v>327</v>
      </c>
      <c r="D34" s="1" t="s">
        <v>405</v>
      </c>
      <c r="E34" s="1" t="s">
        <v>406</v>
      </c>
      <c r="F34" s="1" t="s">
        <v>364</v>
      </c>
      <c r="G34" s="1" t="s">
        <v>380</v>
      </c>
      <c r="H34" s="1" t="s">
        <v>333</v>
      </c>
      <c r="I34" s="1" t="s">
        <v>123</v>
      </c>
      <c r="J34" s="1" t="s">
        <v>123</v>
      </c>
      <c r="K34" s="1" t="s">
        <v>373</v>
      </c>
      <c r="L34" s="1" t="s">
        <v>353</v>
      </c>
      <c r="M34" s="1" t="s">
        <v>647</v>
      </c>
      <c r="N34" s="1" t="s">
        <v>647</v>
      </c>
      <c r="O34" s="1" t="s">
        <v>122</v>
      </c>
      <c r="P34" s="1" t="s">
        <v>123</v>
      </c>
      <c r="Q34" s="1" t="s">
        <v>666</v>
      </c>
      <c r="R34" s="1" t="s">
        <v>739</v>
      </c>
      <c r="S34" s="40" t="s">
        <v>131</v>
      </c>
      <c r="T34" s="40" t="s">
        <v>132</v>
      </c>
      <c r="U34" s="40" t="s">
        <v>122</v>
      </c>
      <c r="V34" s="40"/>
    </row>
    <row r="35" spans="1:22" ht="24" x14ac:dyDescent="0.55000000000000004">
      <c r="A35" s="1" t="s">
        <v>740</v>
      </c>
      <c r="B35" s="1" t="s">
        <v>741</v>
      </c>
      <c r="C35" s="1" t="s">
        <v>327</v>
      </c>
      <c r="D35" s="1" t="s">
        <v>405</v>
      </c>
      <c r="E35" s="1" t="s">
        <v>406</v>
      </c>
      <c r="F35" s="1" t="s">
        <v>357</v>
      </c>
      <c r="G35" s="1" t="s">
        <v>380</v>
      </c>
      <c r="H35" s="1" t="s">
        <v>333</v>
      </c>
      <c r="I35" s="1" t="s">
        <v>123</v>
      </c>
      <c r="J35" s="1" t="s">
        <v>123</v>
      </c>
      <c r="K35" s="1" t="s">
        <v>373</v>
      </c>
      <c r="L35" s="1" t="s">
        <v>353</v>
      </c>
      <c r="M35" s="1" t="s">
        <v>647</v>
      </c>
      <c r="N35" s="1" t="s">
        <v>647</v>
      </c>
      <c r="O35" s="1" t="s">
        <v>122</v>
      </c>
      <c r="P35" s="1" t="s">
        <v>123</v>
      </c>
      <c r="Q35" s="1" t="s">
        <v>666</v>
      </c>
      <c r="R35" s="1" t="s">
        <v>742</v>
      </c>
      <c r="S35" s="40" t="s">
        <v>131</v>
      </c>
      <c r="T35" s="40" t="s">
        <v>132</v>
      </c>
      <c r="U35" s="40" t="s">
        <v>122</v>
      </c>
      <c r="V35" s="40"/>
    </row>
    <row r="36" spans="1:22" ht="24" x14ac:dyDescent="0.55000000000000004">
      <c r="A36" s="1" t="s">
        <v>743</v>
      </c>
      <c r="B36" s="1" t="s">
        <v>744</v>
      </c>
      <c r="C36" s="1" t="s">
        <v>327</v>
      </c>
      <c r="D36" s="1" t="s">
        <v>384</v>
      </c>
      <c r="E36" s="1" t="s">
        <v>397</v>
      </c>
      <c r="F36" s="1" t="s">
        <v>745</v>
      </c>
      <c r="G36" s="1" t="s">
        <v>746</v>
      </c>
      <c r="H36" s="1" t="s">
        <v>446</v>
      </c>
      <c r="I36" s="1" t="s">
        <v>513</v>
      </c>
      <c r="J36" s="1" t="s">
        <v>123</v>
      </c>
      <c r="K36" s="1" t="s">
        <v>373</v>
      </c>
      <c r="L36" s="1" t="s">
        <v>353</v>
      </c>
      <c r="M36" s="1" t="s">
        <v>367</v>
      </c>
      <c r="N36" s="1" t="s">
        <v>345</v>
      </c>
      <c r="O36" s="1" t="s">
        <v>122</v>
      </c>
      <c r="P36" s="1" t="s">
        <v>123</v>
      </c>
      <c r="Q36" s="1" t="s">
        <v>123</v>
      </c>
      <c r="R36" s="1" t="s">
        <v>747</v>
      </c>
      <c r="S36" s="40" t="s">
        <v>131</v>
      </c>
      <c r="T36" s="40" t="s">
        <v>132</v>
      </c>
      <c r="U36" s="40" t="s">
        <v>122</v>
      </c>
      <c r="V36" s="40"/>
    </row>
    <row r="37" spans="1:22" ht="24" x14ac:dyDescent="0.55000000000000004">
      <c r="A37" s="1" t="s">
        <v>748</v>
      </c>
      <c r="B37" s="1" t="s">
        <v>749</v>
      </c>
      <c r="C37" s="1" t="s">
        <v>327</v>
      </c>
      <c r="D37" s="1" t="s">
        <v>384</v>
      </c>
      <c r="E37" s="1" t="s">
        <v>391</v>
      </c>
      <c r="F37" s="1" t="s">
        <v>750</v>
      </c>
      <c r="G37" s="1" t="s">
        <v>751</v>
      </c>
      <c r="H37" s="1" t="s">
        <v>446</v>
      </c>
      <c r="I37" s="1" t="s">
        <v>513</v>
      </c>
      <c r="J37" s="1" t="s">
        <v>752</v>
      </c>
      <c r="K37" s="1" t="s">
        <v>373</v>
      </c>
      <c r="L37" s="1" t="s">
        <v>353</v>
      </c>
      <c r="M37" s="1" t="s">
        <v>367</v>
      </c>
      <c r="N37" s="1" t="s">
        <v>345</v>
      </c>
      <c r="O37" s="1" t="s">
        <v>122</v>
      </c>
      <c r="P37" s="1" t="s">
        <v>123</v>
      </c>
      <c r="Q37" s="1" t="s">
        <v>123</v>
      </c>
      <c r="R37" s="1" t="s">
        <v>753</v>
      </c>
      <c r="S37" s="40" t="s">
        <v>131</v>
      </c>
      <c r="T37" s="40" t="s">
        <v>132</v>
      </c>
      <c r="U37" s="40" t="s">
        <v>122</v>
      </c>
      <c r="V37" s="40"/>
    </row>
    <row r="38" spans="1:22" ht="24" x14ac:dyDescent="0.55000000000000004">
      <c r="A38" s="1" t="s">
        <v>754</v>
      </c>
      <c r="B38" s="1" t="s">
        <v>755</v>
      </c>
      <c r="C38" s="1" t="s">
        <v>327</v>
      </c>
      <c r="D38" s="1" t="s">
        <v>384</v>
      </c>
      <c r="E38" s="1" t="s">
        <v>397</v>
      </c>
      <c r="F38" s="1" t="s">
        <v>364</v>
      </c>
      <c r="G38" s="1" t="s">
        <v>756</v>
      </c>
      <c r="H38" s="1" t="s">
        <v>446</v>
      </c>
      <c r="I38" s="1" t="s">
        <v>513</v>
      </c>
      <c r="J38" s="1" t="s">
        <v>123</v>
      </c>
      <c r="K38" s="1" t="s">
        <v>373</v>
      </c>
      <c r="L38" s="1" t="s">
        <v>353</v>
      </c>
      <c r="M38" s="1" t="s">
        <v>367</v>
      </c>
      <c r="N38" s="1" t="s">
        <v>345</v>
      </c>
      <c r="O38" s="1" t="s">
        <v>122</v>
      </c>
      <c r="P38" s="1" t="s">
        <v>123</v>
      </c>
      <c r="Q38" s="1" t="s">
        <v>123</v>
      </c>
      <c r="R38" s="1" t="s">
        <v>757</v>
      </c>
      <c r="S38" s="40" t="s">
        <v>131</v>
      </c>
      <c r="T38" s="40" t="s">
        <v>132</v>
      </c>
      <c r="U38" s="40" t="s">
        <v>122</v>
      </c>
      <c r="V38" s="40"/>
    </row>
  </sheetData>
  <autoFilter ref="A1:V38" xr:uid="{00000000-0001-0000-0600-000000000000}"/>
  <phoneticPr fontId="21" type="noConversion"/>
  <hyperlinks>
    <hyperlink ref="P8" r:id="rId1" xr:uid="{00000000-0004-0000-0600-000000000000}"/>
    <hyperlink ref="P9" r:id="rId2" xr:uid="{00000000-0004-0000-0600-000001000000}"/>
    <hyperlink ref="P11" r:id="rId3" xr:uid="{2F5403AF-2DC2-4FD5-8E2E-7EC0B07AD68B}"/>
    <hyperlink ref="P10" r:id="rId4" xr:uid="{6338A23C-0E76-4B00-8E82-83CD66E740E8}"/>
    <hyperlink ref="P2" r:id="rId5" xr:uid="{FEA7E30B-7A1D-4574-BB61-4C69FE6AE8F1}"/>
    <hyperlink ref="P3:P7" r:id="rId6" display="https://hpc.tmd.go.th/imgda" xr:uid="{0787D0CF-0B00-4E9F-AFBF-F5B7000B5FCA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V2"/>
  <sheetViews>
    <sheetView zoomScaleNormal="100" workbookViewId="0">
      <pane ySplit="1" topLeftCell="A2" activePane="bottomLeft" state="frozen"/>
      <selection pane="bottomLeft" activeCell="T8" sqref="T8"/>
    </sheetView>
  </sheetViews>
  <sheetFormatPr defaultColWidth="10.85546875" defaultRowHeight="20.25" customHeight="1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858</v>
      </c>
      <c r="B2" s="1" t="s">
        <v>859</v>
      </c>
      <c r="C2" s="1" t="s">
        <v>327</v>
      </c>
      <c r="D2" s="1" t="s">
        <v>328</v>
      </c>
      <c r="E2" s="1" t="s">
        <v>355</v>
      </c>
      <c r="F2" s="1" t="s">
        <v>387</v>
      </c>
      <c r="G2" s="1" t="s">
        <v>380</v>
      </c>
      <c r="H2" s="1" t="s">
        <v>333</v>
      </c>
      <c r="I2" s="1" t="s">
        <v>589</v>
      </c>
      <c r="J2" s="1" t="s">
        <v>860</v>
      </c>
      <c r="K2" s="1" t="s">
        <v>373</v>
      </c>
      <c r="L2" s="1" t="s">
        <v>353</v>
      </c>
      <c r="M2" s="1" t="s">
        <v>123</v>
      </c>
      <c r="N2" s="1" t="s">
        <v>648</v>
      </c>
      <c r="O2" s="1" t="s">
        <v>122</v>
      </c>
      <c r="P2" s="23" t="s">
        <v>236</v>
      </c>
      <c r="Q2" s="1" t="s">
        <v>123</v>
      </c>
      <c r="R2" s="1" t="s">
        <v>123</v>
      </c>
      <c r="S2" s="40" t="s">
        <v>235</v>
      </c>
      <c r="T2" s="40" t="s">
        <v>135</v>
      </c>
      <c r="U2" s="40" t="s">
        <v>139</v>
      </c>
      <c r="V2" s="40" t="s">
        <v>123</v>
      </c>
    </row>
  </sheetData>
  <hyperlinks>
    <hyperlink ref="P2" r:id="rId1" xr:uid="{46FD7EEE-82F8-D246-99C0-8015D749CE9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V7"/>
  <sheetViews>
    <sheetView zoomScaleNormal="100" workbookViewId="0">
      <pane ySplit="1" topLeftCell="A2" activePane="bottomLeft" state="frozen"/>
      <selection pane="bottomLeft" activeCell="R11" sqref="R11"/>
    </sheetView>
  </sheetViews>
  <sheetFormatPr defaultColWidth="10.85546875" defaultRowHeight="20.25" customHeight="1" x14ac:dyDescent="0.55000000000000004"/>
  <cols>
    <col min="1" max="1" width="10.85546875" style="1" customWidth="1"/>
    <col min="2" max="15" width="10.85546875" style="1"/>
    <col min="16" max="16" width="47.85546875" style="1" customWidth="1"/>
    <col min="17" max="17" width="24.7109375" style="1" customWidth="1"/>
    <col min="18" max="19" width="47.85546875" style="1" customWidth="1"/>
    <col min="20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758</v>
      </c>
      <c r="B2" s="1" t="s">
        <v>759</v>
      </c>
      <c r="C2" s="1" t="s">
        <v>327</v>
      </c>
      <c r="D2" s="1" t="s">
        <v>328</v>
      </c>
      <c r="E2" s="1" t="s">
        <v>338</v>
      </c>
      <c r="F2" s="1" t="s">
        <v>340</v>
      </c>
      <c r="G2" s="1" t="s">
        <v>760</v>
      </c>
      <c r="H2" s="1" t="s">
        <v>333</v>
      </c>
      <c r="I2" s="1" t="s">
        <v>761</v>
      </c>
      <c r="J2" s="1" t="s">
        <v>762</v>
      </c>
      <c r="K2" s="1" t="s">
        <v>373</v>
      </c>
      <c r="L2" s="1" t="s">
        <v>353</v>
      </c>
      <c r="M2" s="1" t="s">
        <v>123</v>
      </c>
      <c r="N2" s="1" t="s">
        <v>648</v>
      </c>
      <c r="O2" s="1" t="s">
        <v>122</v>
      </c>
      <c r="P2" s="23" t="s">
        <v>156</v>
      </c>
      <c r="Q2" s="1" t="s">
        <v>123</v>
      </c>
      <c r="R2" s="1" t="s">
        <v>763</v>
      </c>
      <c r="S2" s="40" t="s">
        <v>155</v>
      </c>
      <c r="T2" s="40" t="s">
        <v>135</v>
      </c>
      <c r="U2" s="40" t="s">
        <v>122</v>
      </c>
      <c r="V2" s="40"/>
    </row>
    <row r="3" spans="1:22" ht="24" x14ac:dyDescent="0.55000000000000004">
      <c r="A3" s="1" t="s">
        <v>764</v>
      </c>
      <c r="B3" s="1" t="s">
        <v>765</v>
      </c>
      <c r="C3" s="1" t="s">
        <v>411</v>
      </c>
      <c r="D3" s="1" t="s">
        <v>415</v>
      </c>
      <c r="E3" s="1" t="s">
        <v>416</v>
      </c>
      <c r="F3" s="1" t="s">
        <v>766</v>
      </c>
      <c r="G3" s="1" t="s">
        <v>767</v>
      </c>
      <c r="H3" s="1" t="s">
        <v>333</v>
      </c>
      <c r="I3" s="1" t="s">
        <v>761</v>
      </c>
      <c r="J3" s="1" t="s">
        <v>768</v>
      </c>
      <c r="K3" s="1" t="s">
        <v>373</v>
      </c>
      <c r="L3" s="1" t="s">
        <v>353</v>
      </c>
      <c r="M3" s="1" t="s">
        <v>123</v>
      </c>
      <c r="N3" s="1" t="s">
        <v>648</v>
      </c>
      <c r="O3" s="1" t="s">
        <v>122</v>
      </c>
      <c r="P3" s="23" t="s">
        <v>162</v>
      </c>
      <c r="Q3" s="1" t="s">
        <v>123</v>
      </c>
      <c r="R3" s="1" t="s">
        <v>769</v>
      </c>
      <c r="S3" s="40" t="s">
        <v>161</v>
      </c>
      <c r="T3" s="40" t="s">
        <v>135</v>
      </c>
      <c r="U3" s="40" t="s">
        <v>122</v>
      </c>
      <c r="V3" s="40"/>
    </row>
    <row r="4" spans="1:22" ht="24" x14ac:dyDescent="0.55000000000000004">
      <c r="A4" s="1" t="s">
        <v>770</v>
      </c>
      <c r="B4" s="1" t="s">
        <v>771</v>
      </c>
      <c r="C4" s="1" t="s">
        <v>327</v>
      </c>
      <c r="D4" s="1" t="s">
        <v>328</v>
      </c>
      <c r="E4" s="1" t="s">
        <v>369</v>
      </c>
      <c r="F4" s="1" t="s">
        <v>349</v>
      </c>
      <c r="G4" s="1" t="s">
        <v>767</v>
      </c>
      <c r="H4" s="1" t="s">
        <v>333</v>
      </c>
      <c r="I4" s="1" t="s">
        <v>761</v>
      </c>
      <c r="J4" s="1" t="s">
        <v>547</v>
      </c>
      <c r="K4" s="1" t="s">
        <v>373</v>
      </c>
      <c r="L4" s="1" t="s">
        <v>353</v>
      </c>
      <c r="M4" s="1" t="s">
        <v>123</v>
      </c>
      <c r="N4" s="1" t="s">
        <v>772</v>
      </c>
      <c r="O4" s="1" t="s">
        <v>122</v>
      </c>
      <c r="P4" s="23" t="s">
        <v>159</v>
      </c>
      <c r="Q4" s="1" t="s">
        <v>123</v>
      </c>
      <c r="R4" s="1" t="s">
        <v>773</v>
      </c>
      <c r="S4" s="40" t="s">
        <v>158</v>
      </c>
      <c r="T4" s="40" t="s">
        <v>135</v>
      </c>
      <c r="U4" s="40" t="s">
        <v>122</v>
      </c>
      <c r="V4" s="40"/>
    </row>
    <row r="5" spans="1:22" ht="24" x14ac:dyDescent="0.55000000000000004">
      <c r="A5" s="1" t="s">
        <v>774</v>
      </c>
      <c r="B5" s="1" t="s">
        <v>775</v>
      </c>
      <c r="C5" s="1" t="s">
        <v>327</v>
      </c>
      <c r="D5" s="1" t="s">
        <v>328</v>
      </c>
      <c r="E5" s="1" t="s">
        <v>369</v>
      </c>
      <c r="F5" s="1" t="s">
        <v>776</v>
      </c>
      <c r="G5" s="1" t="s">
        <v>767</v>
      </c>
      <c r="H5" s="1" t="s">
        <v>333</v>
      </c>
      <c r="I5" s="1" t="s">
        <v>761</v>
      </c>
      <c r="J5" s="1" t="s">
        <v>777</v>
      </c>
      <c r="K5" s="1" t="s">
        <v>373</v>
      </c>
      <c r="L5" s="1" t="s">
        <v>353</v>
      </c>
      <c r="M5" s="1" t="s">
        <v>123</v>
      </c>
      <c r="N5" s="1" t="s">
        <v>772</v>
      </c>
      <c r="O5" s="1" t="s">
        <v>122</v>
      </c>
      <c r="P5" s="23" t="s">
        <v>159</v>
      </c>
      <c r="Q5" s="1" t="s">
        <v>123</v>
      </c>
      <c r="R5" s="1" t="s">
        <v>778</v>
      </c>
      <c r="S5" s="40" t="s">
        <v>158</v>
      </c>
      <c r="T5" s="40" t="s">
        <v>135</v>
      </c>
      <c r="U5" s="40" t="s">
        <v>122</v>
      </c>
      <c r="V5" s="40"/>
    </row>
    <row r="6" spans="1:22" ht="24" x14ac:dyDescent="0.55000000000000004">
      <c r="A6" s="1" t="s">
        <v>779</v>
      </c>
      <c r="B6" s="1" t="s">
        <v>780</v>
      </c>
      <c r="C6" s="1" t="s">
        <v>327</v>
      </c>
      <c r="D6" s="1" t="s">
        <v>328</v>
      </c>
      <c r="E6" s="1" t="s">
        <v>338</v>
      </c>
      <c r="F6" s="1" t="s">
        <v>340</v>
      </c>
      <c r="G6" s="1" t="s">
        <v>380</v>
      </c>
      <c r="H6" s="1" t="s">
        <v>333</v>
      </c>
      <c r="I6" s="1" t="s">
        <v>123</v>
      </c>
      <c r="J6" s="1" t="s">
        <v>123</v>
      </c>
      <c r="K6" s="1" t="s">
        <v>123</v>
      </c>
      <c r="L6" s="1" t="s">
        <v>781</v>
      </c>
      <c r="M6" s="1" t="s">
        <v>123</v>
      </c>
      <c r="N6" s="1" t="s">
        <v>662</v>
      </c>
      <c r="O6" s="1" t="s">
        <v>123</v>
      </c>
      <c r="P6" s="23" t="s">
        <v>156</v>
      </c>
      <c r="Q6" s="1" t="s">
        <v>123</v>
      </c>
      <c r="R6" s="1" t="s">
        <v>782</v>
      </c>
      <c r="S6" s="40" t="s">
        <v>155</v>
      </c>
      <c r="T6" s="40" t="s">
        <v>135</v>
      </c>
      <c r="U6" s="40" t="s">
        <v>122</v>
      </c>
      <c r="V6" s="40"/>
    </row>
    <row r="7" spans="1:22" ht="24" x14ac:dyDescent="0.55000000000000004">
      <c r="A7" s="1" t="s">
        <v>783</v>
      </c>
      <c r="B7" s="1" t="s">
        <v>784</v>
      </c>
      <c r="C7" s="1" t="s">
        <v>327</v>
      </c>
      <c r="D7" s="1" t="s">
        <v>384</v>
      </c>
      <c r="E7" s="1" t="s">
        <v>391</v>
      </c>
      <c r="F7" s="1" t="s">
        <v>371</v>
      </c>
      <c r="G7" s="1" t="s">
        <v>785</v>
      </c>
      <c r="H7" s="1" t="s">
        <v>446</v>
      </c>
      <c r="I7" s="1" t="s">
        <v>513</v>
      </c>
      <c r="J7" s="1" t="s">
        <v>123</v>
      </c>
      <c r="K7" s="1" t="s">
        <v>373</v>
      </c>
      <c r="L7" s="1" t="s">
        <v>353</v>
      </c>
      <c r="M7" s="1" t="s">
        <v>367</v>
      </c>
      <c r="N7" s="1" t="s">
        <v>345</v>
      </c>
      <c r="O7" s="1" t="s">
        <v>122</v>
      </c>
      <c r="P7" s="1" t="s">
        <v>123</v>
      </c>
      <c r="Q7" s="1" t="s">
        <v>123</v>
      </c>
      <c r="R7" s="1" t="s">
        <v>786</v>
      </c>
      <c r="S7" s="40" t="s">
        <v>131</v>
      </c>
      <c r="T7" s="40" t="s">
        <v>132</v>
      </c>
      <c r="U7" s="40" t="s">
        <v>122</v>
      </c>
      <c r="V7" s="40"/>
    </row>
  </sheetData>
  <phoneticPr fontId="21" type="noConversion"/>
  <hyperlinks>
    <hyperlink ref="P5" r:id="rId1" xr:uid="{1E5B467D-5046-6242-B17A-F5308159D599}"/>
    <hyperlink ref="P6" r:id="rId2" xr:uid="{BDE39FC0-6799-2F41-B7A6-65D5A503489E}"/>
    <hyperlink ref="P4" r:id="rId3" xr:uid="{2D362CFF-7128-EE47-B602-6248A20C8422}"/>
    <hyperlink ref="P3" r:id="rId4" location="coral-report-scroll" xr:uid="{4943FCC7-29B2-734E-A368-39AAF84FF95A}"/>
    <hyperlink ref="P2" r:id="rId5" xr:uid="{14E96183-7CDF-014A-9E3A-9B811B86C4F6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V4"/>
  <sheetViews>
    <sheetView zoomScaleNormal="100" workbookViewId="0">
      <pane ySplit="1" topLeftCell="A2" activePane="bottomLeft" state="frozen"/>
      <selection pane="bottomLeft" activeCell="M14" sqref="M14"/>
    </sheetView>
  </sheetViews>
  <sheetFormatPr defaultColWidth="10.85546875" defaultRowHeight="20.25" customHeight="1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787</v>
      </c>
      <c r="B2" s="1" t="s">
        <v>788</v>
      </c>
      <c r="C2" s="1" t="s">
        <v>327</v>
      </c>
      <c r="D2" s="1" t="s">
        <v>328</v>
      </c>
      <c r="E2" s="1" t="s">
        <v>338</v>
      </c>
      <c r="F2" s="1" t="s">
        <v>379</v>
      </c>
      <c r="G2" s="1" t="s">
        <v>380</v>
      </c>
      <c r="H2" s="1" t="s">
        <v>333</v>
      </c>
      <c r="I2" s="1">
        <v>2024</v>
      </c>
      <c r="J2" s="1" t="s">
        <v>123</v>
      </c>
      <c r="K2" s="1" t="s">
        <v>123</v>
      </c>
      <c r="L2" s="1" t="s">
        <v>661</v>
      </c>
      <c r="M2" s="1" t="s">
        <v>123</v>
      </c>
      <c r="N2" s="1" t="s">
        <v>789</v>
      </c>
      <c r="O2" s="1" t="s">
        <v>123</v>
      </c>
      <c r="P2" s="23" t="s">
        <v>169</v>
      </c>
      <c r="Q2" s="1" t="s">
        <v>123</v>
      </c>
      <c r="R2" s="1" t="s">
        <v>790</v>
      </c>
      <c r="S2" s="40" t="s">
        <v>168</v>
      </c>
      <c r="T2" s="40" t="s">
        <v>135</v>
      </c>
      <c r="U2" s="40" t="s">
        <v>139</v>
      </c>
      <c r="V2" s="40" t="s">
        <v>166</v>
      </c>
    </row>
    <row r="3" spans="1:22" ht="24" x14ac:dyDescent="0.55000000000000004">
      <c r="A3" s="1" t="s">
        <v>791</v>
      </c>
      <c r="B3" s="1" t="s">
        <v>792</v>
      </c>
      <c r="C3" s="1" t="s">
        <v>327</v>
      </c>
      <c r="D3" s="1" t="s">
        <v>328</v>
      </c>
      <c r="E3" s="1" t="s">
        <v>338</v>
      </c>
      <c r="F3" s="1" t="s">
        <v>364</v>
      </c>
      <c r="G3" s="1" t="s">
        <v>793</v>
      </c>
      <c r="H3" s="1" t="s">
        <v>446</v>
      </c>
      <c r="I3" s="1" t="s">
        <v>513</v>
      </c>
      <c r="J3" s="1" t="s">
        <v>547</v>
      </c>
      <c r="K3" s="1" t="s">
        <v>373</v>
      </c>
      <c r="L3" s="1" t="s">
        <v>353</v>
      </c>
      <c r="M3" s="1" t="s">
        <v>367</v>
      </c>
      <c r="N3" s="1" t="s">
        <v>345</v>
      </c>
      <c r="O3" s="1" t="s">
        <v>122</v>
      </c>
      <c r="P3" s="1" t="s">
        <v>123</v>
      </c>
      <c r="Q3" s="1" t="s">
        <v>123</v>
      </c>
      <c r="R3" s="1" t="s">
        <v>794</v>
      </c>
      <c r="S3" s="40" t="s">
        <v>131</v>
      </c>
      <c r="T3" s="40" t="s">
        <v>132</v>
      </c>
      <c r="U3" s="40" t="s">
        <v>122</v>
      </c>
      <c r="V3" s="40"/>
    </row>
    <row r="4" spans="1:22" ht="24" x14ac:dyDescent="0.55000000000000004">
      <c r="A4" s="1" t="s">
        <v>795</v>
      </c>
      <c r="B4" s="1" t="s">
        <v>796</v>
      </c>
      <c r="C4" s="1" t="s">
        <v>327</v>
      </c>
      <c r="D4" s="1" t="s">
        <v>328</v>
      </c>
      <c r="E4" s="1" t="s">
        <v>338</v>
      </c>
      <c r="F4" s="1" t="s">
        <v>364</v>
      </c>
      <c r="G4" s="1" t="s">
        <v>797</v>
      </c>
      <c r="H4" s="1" t="s">
        <v>446</v>
      </c>
      <c r="I4" s="1" t="s">
        <v>513</v>
      </c>
      <c r="J4" s="1" t="s">
        <v>547</v>
      </c>
      <c r="K4" s="1" t="s">
        <v>373</v>
      </c>
      <c r="L4" s="1" t="s">
        <v>353</v>
      </c>
      <c r="M4" s="1" t="s">
        <v>367</v>
      </c>
      <c r="N4" s="1" t="s">
        <v>345</v>
      </c>
      <c r="O4" s="1" t="s">
        <v>122</v>
      </c>
      <c r="P4" s="1" t="s">
        <v>123</v>
      </c>
      <c r="Q4" s="1" t="s">
        <v>123</v>
      </c>
      <c r="R4" s="1" t="s">
        <v>798</v>
      </c>
      <c r="S4" s="40" t="s">
        <v>131</v>
      </c>
      <c r="T4" s="40" t="s">
        <v>132</v>
      </c>
      <c r="U4" s="40" t="s">
        <v>122</v>
      </c>
      <c r="V4" s="40"/>
    </row>
  </sheetData>
  <phoneticPr fontId="21" type="noConversion"/>
  <hyperlinks>
    <hyperlink ref="P2" r:id="rId1" xr:uid="{BC30B714-801C-FE46-A1A5-69E595DFC5A9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V16"/>
  <sheetViews>
    <sheetView zoomScaleNormal="100" workbookViewId="0">
      <pane ySplit="1" topLeftCell="A2" activePane="bottomLeft" state="frozen"/>
      <selection pane="bottomLeft" activeCell="I6" sqref="I6"/>
    </sheetView>
  </sheetViews>
  <sheetFormatPr defaultColWidth="10.85546875" defaultRowHeight="20.25" customHeight="1" x14ac:dyDescent="0.55000000000000004"/>
  <cols>
    <col min="1" max="1" width="10.85546875" style="1" customWidth="1"/>
    <col min="2" max="2" width="60.28515625" style="1" customWidth="1"/>
    <col min="3" max="3" width="21.42578125" style="1" customWidth="1"/>
    <col min="4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799</v>
      </c>
      <c r="B2" s="1" t="s">
        <v>800</v>
      </c>
      <c r="C2" s="1" t="s">
        <v>327</v>
      </c>
      <c r="D2" s="1" t="s">
        <v>328</v>
      </c>
      <c r="E2" s="1" t="s">
        <v>338</v>
      </c>
      <c r="F2" s="1" t="s">
        <v>364</v>
      </c>
      <c r="G2" s="1" t="s">
        <v>653</v>
      </c>
      <c r="H2" s="1" t="s">
        <v>333</v>
      </c>
      <c r="I2" s="1" t="s">
        <v>594</v>
      </c>
      <c r="J2" s="1" t="s">
        <v>123</v>
      </c>
      <c r="K2" s="1" t="s">
        <v>373</v>
      </c>
      <c r="L2" s="1" t="s">
        <v>353</v>
      </c>
      <c r="M2" s="1" t="s">
        <v>123</v>
      </c>
      <c r="N2" s="1" t="s">
        <v>648</v>
      </c>
      <c r="O2" s="1" t="s">
        <v>122</v>
      </c>
      <c r="P2" s="1" t="s">
        <v>123</v>
      </c>
      <c r="Q2" s="1" t="s">
        <v>123</v>
      </c>
      <c r="R2" s="1" t="s">
        <v>144</v>
      </c>
      <c r="S2" s="40"/>
      <c r="T2" s="40"/>
      <c r="U2" s="40" t="s">
        <v>122</v>
      </c>
      <c r="V2" s="40"/>
    </row>
    <row r="3" spans="1:22" ht="24" x14ac:dyDescent="0.55000000000000004">
      <c r="A3" s="44" t="s">
        <v>801</v>
      </c>
      <c r="B3" s="44" t="s">
        <v>802</v>
      </c>
      <c r="C3" s="44" t="s">
        <v>411</v>
      </c>
      <c r="D3" s="44" t="s">
        <v>412</v>
      </c>
      <c r="E3" s="44" t="s">
        <v>413</v>
      </c>
      <c r="F3" s="44" t="s">
        <v>349</v>
      </c>
      <c r="G3" s="44" t="s">
        <v>380</v>
      </c>
      <c r="H3" s="44" t="s">
        <v>333</v>
      </c>
      <c r="I3" s="44" t="s">
        <v>647</v>
      </c>
      <c r="J3" s="44" t="s">
        <v>803</v>
      </c>
      <c r="K3" s="44" t="s">
        <v>381</v>
      </c>
      <c r="L3" s="44" t="s">
        <v>389</v>
      </c>
      <c r="M3" s="44" t="s">
        <v>389</v>
      </c>
      <c r="N3" s="44" t="s">
        <v>354</v>
      </c>
      <c r="O3" s="44" t="s">
        <v>122</v>
      </c>
      <c r="P3" s="44" t="s">
        <v>123</v>
      </c>
      <c r="Q3" s="44" t="s">
        <v>804</v>
      </c>
      <c r="R3" s="44" t="s">
        <v>805</v>
      </c>
      <c r="S3" s="40" t="s">
        <v>120</v>
      </c>
      <c r="T3" s="40" t="s">
        <v>121</v>
      </c>
      <c r="U3" s="40" t="s">
        <v>122</v>
      </c>
      <c r="V3" s="40"/>
    </row>
    <row r="4" spans="1:22" ht="24" x14ac:dyDescent="0.55000000000000004">
      <c r="A4" s="44" t="s">
        <v>806</v>
      </c>
      <c r="B4" s="44" t="s">
        <v>807</v>
      </c>
      <c r="C4" s="44" t="s">
        <v>327</v>
      </c>
      <c r="D4" s="44" t="s">
        <v>408</v>
      </c>
      <c r="E4" s="44" t="s">
        <v>406</v>
      </c>
      <c r="F4" s="44" t="s">
        <v>808</v>
      </c>
      <c r="G4" s="44" t="s">
        <v>380</v>
      </c>
      <c r="H4" s="44" t="s">
        <v>342</v>
      </c>
      <c r="I4" s="44" t="s">
        <v>647</v>
      </c>
      <c r="J4" s="44" t="s">
        <v>123</v>
      </c>
      <c r="K4" s="44" t="s">
        <v>373</v>
      </c>
      <c r="L4" s="44" t="s">
        <v>360</v>
      </c>
      <c r="M4" s="44" t="s">
        <v>600</v>
      </c>
      <c r="N4" s="44" t="s">
        <v>809</v>
      </c>
      <c r="O4" s="44" t="s">
        <v>122</v>
      </c>
      <c r="P4" s="44" t="s">
        <v>123</v>
      </c>
      <c r="Q4" s="44" t="s">
        <v>810</v>
      </c>
      <c r="R4" s="44" t="s">
        <v>811</v>
      </c>
      <c r="S4" s="40" t="s">
        <v>120</v>
      </c>
      <c r="T4" s="40" t="s">
        <v>121</v>
      </c>
      <c r="U4" s="40" t="s">
        <v>122</v>
      </c>
      <c r="V4" s="40"/>
    </row>
    <row r="5" spans="1:22" ht="24" x14ac:dyDescent="0.55000000000000004">
      <c r="A5" s="44" t="s">
        <v>812</v>
      </c>
      <c r="B5" s="44" t="s">
        <v>813</v>
      </c>
      <c r="C5" s="44" t="s">
        <v>411</v>
      </c>
      <c r="D5" s="44" t="s">
        <v>415</v>
      </c>
      <c r="E5" s="44" t="s">
        <v>416</v>
      </c>
      <c r="F5" s="44" t="s">
        <v>814</v>
      </c>
      <c r="G5" s="44" t="s">
        <v>815</v>
      </c>
      <c r="H5" s="44" t="s">
        <v>333</v>
      </c>
      <c r="I5" s="44" t="s">
        <v>647</v>
      </c>
      <c r="J5" s="44" t="s">
        <v>816</v>
      </c>
      <c r="K5" s="44" t="s">
        <v>381</v>
      </c>
      <c r="L5" s="44" t="s">
        <v>389</v>
      </c>
      <c r="M5" s="44" t="s">
        <v>389</v>
      </c>
      <c r="N5" s="44" t="s">
        <v>354</v>
      </c>
      <c r="O5" s="44" t="s">
        <v>122</v>
      </c>
      <c r="P5" s="44" t="s">
        <v>123</v>
      </c>
      <c r="Q5" s="44" t="s">
        <v>817</v>
      </c>
      <c r="R5" s="44" t="s">
        <v>818</v>
      </c>
      <c r="S5" s="40" t="s">
        <v>120</v>
      </c>
      <c r="T5" s="40" t="s">
        <v>121</v>
      </c>
      <c r="U5" s="40" t="s">
        <v>122</v>
      </c>
      <c r="V5" s="40"/>
    </row>
    <row r="6" spans="1:22" ht="24" x14ac:dyDescent="0.55000000000000004">
      <c r="A6" s="1" t="s">
        <v>819</v>
      </c>
      <c r="B6" s="1" t="s">
        <v>820</v>
      </c>
      <c r="C6" s="1" t="s">
        <v>327</v>
      </c>
      <c r="D6" s="1" t="s">
        <v>328</v>
      </c>
      <c r="E6" s="1" t="s">
        <v>329</v>
      </c>
      <c r="F6" s="1" t="s">
        <v>750</v>
      </c>
      <c r="G6" s="1" t="s">
        <v>821</v>
      </c>
      <c r="H6" s="1" t="s">
        <v>446</v>
      </c>
      <c r="I6" s="1" t="s">
        <v>513</v>
      </c>
      <c r="J6" s="1" t="s">
        <v>547</v>
      </c>
      <c r="K6" s="1" t="s">
        <v>373</v>
      </c>
      <c r="L6" s="1" t="s">
        <v>353</v>
      </c>
      <c r="M6" s="1" t="s">
        <v>367</v>
      </c>
      <c r="N6" s="1" t="s">
        <v>345</v>
      </c>
      <c r="O6" s="1" t="s">
        <v>122</v>
      </c>
      <c r="P6" s="1" t="s">
        <v>123</v>
      </c>
      <c r="Q6" s="1" t="s">
        <v>123</v>
      </c>
      <c r="R6" s="1" t="s">
        <v>822</v>
      </c>
      <c r="S6" s="40" t="s">
        <v>131</v>
      </c>
      <c r="T6" s="40" t="s">
        <v>132</v>
      </c>
      <c r="U6" s="40" t="s">
        <v>122</v>
      </c>
      <c r="V6" s="40"/>
    </row>
    <row r="7" spans="1:22" ht="24" x14ac:dyDescent="0.55000000000000004">
      <c r="A7" s="1" t="s">
        <v>823</v>
      </c>
      <c r="B7" s="1" t="s">
        <v>824</v>
      </c>
      <c r="C7" s="1" t="s">
        <v>411</v>
      </c>
      <c r="D7" s="1" t="s">
        <v>415</v>
      </c>
      <c r="E7" s="1" t="s">
        <v>416</v>
      </c>
      <c r="F7" s="1" t="s">
        <v>357</v>
      </c>
      <c r="G7" s="1" t="s">
        <v>618</v>
      </c>
      <c r="H7" s="1" t="s">
        <v>446</v>
      </c>
      <c r="I7" s="1" t="s">
        <v>513</v>
      </c>
      <c r="J7" s="1" t="s">
        <v>825</v>
      </c>
      <c r="K7" s="1" t="s">
        <v>373</v>
      </c>
      <c r="L7" s="1" t="s">
        <v>353</v>
      </c>
      <c r="M7" s="1" t="s">
        <v>367</v>
      </c>
      <c r="N7" s="1" t="s">
        <v>345</v>
      </c>
      <c r="O7" s="1" t="s">
        <v>122</v>
      </c>
      <c r="P7" s="1" t="s">
        <v>123</v>
      </c>
      <c r="Q7" s="1" t="s">
        <v>123</v>
      </c>
      <c r="R7" s="1" t="s">
        <v>826</v>
      </c>
      <c r="S7" s="40" t="s">
        <v>131</v>
      </c>
      <c r="T7" s="40" t="s">
        <v>132</v>
      </c>
      <c r="U7" s="40" t="s">
        <v>122</v>
      </c>
      <c r="V7" s="40"/>
    </row>
    <row r="8" spans="1:22" ht="24" x14ac:dyDescent="0.55000000000000004">
      <c r="A8" s="1" t="s">
        <v>827</v>
      </c>
      <c r="B8" s="1" t="s">
        <v>828</v>
      </c>
      <c r="C8" s="1" t="s">
        <v>327</v>
      </c>
      <c r="D8" s="1" t="s">
        <v>328</v>
      </c>
      <c r="E8" s="1" t="s">
        <v>329</v>
      </c>
      <c r="F8" s="1" t="s">
        <v>364</v>
      </c>
      <c r="G8" s="1" t="s">
        <v>821</v>
      </c>
      <c r="H8" s="1" t="s">
        <v>446</v>
      </c>
      <c r="I8" s="1" t="s">
        <v>513</v>
      </c>
      <c r="J8" s="1" t="s">
        <v>547</v>
      </c>
      <c r="K8" s="1" t="s">
        <v>373</v>
      </c>
      <c r="L8" s="1" t="s">
        <v>353</v>
      </c>
      <c r="M8" s="1" t="s">
        <v>367</v>
      </c>
      <c r="N8" s="1" t="s">
        <v>345</v>
      </c>
      <c r="O8" s="1" t="s">
        <v>122</v>
      </c>
      <c r="P8" s="1" t="s">
        <v>123</v>
      </c>
      <c r="Q8" s="1" t="s">
        <v>123</v>
      </c>
      <c r="R8" s="1" t="s">
        <v>829</v>
      </c>
      <c r="S8" s="40" t="s">
        <v>131</v>
      </c>
      <c r="T8" s="40" t="s">
        <v>132</v>
      </c>
      <c r="U8" s="40" t="s">
        <v>122</v>
      </c>
      <c r="V8" s="40"/>
    </row>
    <row r="9" spans="1:22" ht="24" x14ac:dyDescent="0.55000000000000004">
      <c r="A9" s="1" t="s">
        <v>830</v>
      </c>
      <c r="B9" s="1" t="s">
        <v>831</v>
      </c>
      <c r="C9" s="1" t="s">
        <v>411</v>
      </c>
      <c r="D9" s="1" t="s">
        <v>415</v>
      </c>
      <c r="E9" s="1" t="s">
        <v>416</v>
      </c>
      <c r="F9" s="1" t="s">
        <v>364</v>
      </c>
      <c r="G9" s="1" t="s">
        <v>618</v>
      </c>
      <c r="H9" s="1" t="s">
        <v>446</v>
      </c>
      <c r="I9" s="1" t="s">
        <v>513</v>
      </c>
      <c r="J9" s="1" t="s">
        <v>825</v>
      </c>
      <c r="K9" s="1" t="s">
        <v>373</v>
      </c>
      <c r="L9" s="1" t="s">
        <v>353</v>
      </c>
      <c r="M9" s="1" t="s">
        <v>367</v>
      </c>
      <c r="N9" s="1" t="s">
        <v>345</v>
      </c>
      <c r="O9" s="1" t="s">
        <v>122</v>
      </c>
      <c r="P9" s="1" t="s">
        <v>123</v>
      </c>
      <c r="Q9" s="1" t="s">
        <v>123</v>
      </c>
      <c r="R9" s="1" t="s">
        <v>832</v>
      </c>
      <c r="S9" s="40" t="s">
        <v>131</v>
      </c>
      <c r="T9" s="40" t="s">
        <v>132</v>
      </c>
      <c r="U9" s="40" t="s">
        <v>122</v>
      </c>
      <c r="V9" s="40"/>
    </row>
    <row r="10" spans="1:22" ht="24" x14ac:dyDescent="0.55000000000000004">
      <c r="A10" s="1" t="s">
        <v>833</v>
      </c>
      <c r="B10" s="1" t="s">
        <v>834</v>
      </c>
      <c r="C10" s="1" t="s">
        <v>411</v>
      </c>
      <c r="D10" s="1" t="s">
        <v>415</v>
      </c>
      <c r="E10" s="1" t="s">
        <v>416</v>
      </c>
      <c r="F10" s="1" t="s">
        <v>364</v>
      </c>
      <c r="G10" s="1" t="s">
        <v>821</v>
      </c>
      <c r="H10" s="1" t="s">
        <v>446</v>
      </c>
      <c r="I10" s="1" t="s">
        <v>513</v>
      </c>
      <c r="J10" s="1" t="s">
        <v>835</v>
      </c>
      <c r="K10" s="1" t="s">
        <v>373</v>
      </c>
      <c r="L10" s="1" t="s">
        <v>353</v>
      </c>
      <c r="M10" s="1" t="s">
        <v>367</v>
      </c>
      <c r="N10" s="1" t="s">
        <v>345</v>
      </c>
      <c r="O10" s="1" t="s">
        <v>122</v>
      </c>
      <c r="P10" s="1" t="s">
        <v>123</v>
      </c>
      <c r="Q10" s="1" t="s">
        <v>123</v>
      </c>
      <c r="R10" s="1" t="s">
        <v>836</v>
      </c>
      <c r="S10" s="40" t="s">
        <v>131</v>
      </c>
      <c r="T10" s="40" t="s">
        <v>132</v>
      </c>
      <c r="U10" s="40" t="s">
        <v>122</v>
      </c>
      <c r="V10" s="40"/>
    </row>
    <row r="11" spans="1:22" ht="24" x14ac:dyDescent="0.55000000000000004">
      <c r="A11" s="1" t="s">
        <v>837</v>
      </c>
      <c r="B11" s="1" t="s">
        <v>838</v>
      </c>
      <c r="C11" s="1" t="s">
        <v>411</v>
      </c>
      <c r="D11" s="1" t="s">
        <v>415</v>
      </c>
      <c r="E11" s="1" t="s">
        <v>416</v>
      </c>
      <c r="F11" s="1" t="s">
        <v>364</v>
      </c>
      <c r="G11" s="1" t="s">
        <v>821</v>
      </c>
      <c r="H11" s="1" t="s">
        <v>446</v>
      </c>
      <c r="I11" s="1" t="s">
        <v>513</v>
      </c>
      <c r="J11" s="1" t="s">
        <v>839</v>
      </c>
      <c r="K11" s="1" t="s">
        <v>373</v>
      </c>
      <c r="L11" s="1" t="s">
        <v>353</v>
      </c>
      <c r="M11" s="1" t="s">
        <v>367</v>
      </c>
      <c r="N11" s="1" t="s">
        <v>345</v>
      </c>
      <c r="O11" s="1" t="s">
        <v>122</v>
      </c>
      <c r="P11" s="1" t="s">
        <v>123</v>
      </c>
      <c r="Q11" s="1" t="s">
        <v>123</v>
      </c>
      <c r="R11" s="1" t="s">
        <v>840</v>
      </c>
      <c r="S11" s="40" t="s">
        <v>131</v>
      </c>
      <c r="T11" s="40" t="s">
        <v>132</v>
      </c>
      <c r="U11" s="40" t="s">
        <v>122</v>
      </c>
      <c r="V11" s="40"/>
    </row>
    <row r="12" spans="1:22" ht="24" x14ac:dyDescent="0.55000000000000004">
      <c r="A12" s="1" t="s">
        <v>841</v>
      </c>
      <c r="B12" s="1" t="s">
        <v>842</v>
      </c>
      <c r="C12" s="1" t="s">
        <v>411</v>
      </c>
      <c r="D12" s="1" t="s">
        <v>415</v>
      </c>
      <c r="E12" s="1" t="s">
        <v>416</v>
      </c>
      <c r="F12" s="1" t="s">
        <v>357</v>
      </c>
      <c r="G12" s="1" t="s">
        <v>797</v>
      </c>
      <c r="H12" s="1" t="s">
        <v>446</v>
      </c>
      <c r="I12" s="1" t="s">
        <v>513</v>
      </c>
      <c r="J12" s="1" t="s">
        <v>843</v>
      </c>
      <c r="K12" s="1" t="s">
        <v>373</v>
      </c>
      <c r="L12" s="1" t="s">
        <v>353</v>
      </c>
      <c r="M12" s="1" t="s">
        <v>367</v>
      </c>
      <c r="N12" s="1" t="s">
        <v>345</v>
      </c>
      <c r="O12" s="1" t="s">
        <v>122</v>
      </c>
      <c r="P12" s="1" t="s">
        <v>123</v>
      </c>
      <c r="Q12" s="1" t="s">
        <v>123</v>
      </c>
      <c r="R12" s="1" t="s">
        <v>844</v>
      </c>
      <c r="S12" s="40" t="s">
        <v>131</v>
      </c>
      <c r="T12" s="40" t="s">
        <v>132</v>
      </c>
      <c r="U12" s="40" t="s">
        <v>122</v>
      </c>
      <c r="V12" s="40"/>
    </row>
    <row r="13" spans="1:22" ht="24" x14ac:dyDescent="0.55000000000000004">
      <c r="A13" s="1" t="s">
        <v>845</v>
      </c>
      <c r="B13" s="1" t="s">
        <v>846</v>
      </c>
      <c r="C13" s="1" t="s">
        <v>411</v>
      </c>
      <c r="D13" s="1" t="s">
        <v>415</v>
      </c>
      <c r="E13" s="1" t="s">
        <v>416</v>
      </c>
      <c r="F13" s="1" t="s">
        <v>364</v>
      </c>
      <c r="G13" s="1" t="s">
        <v>797</v>
      </c>
      <c r="H13" s="1" t="s">
        <v>446</v>
      </c>
      <c r="I13" s="1" t="s">
        <v>513</v>
      </c>
      <c r="J13" s="1" t="s">
        <v>123</v>
      </c>
      <c r="K13" s="1" t="s">
        <v>373</v>
      </c>
      <c r="L13" s="1" t="s">
        <v>353</v>
      </c>
      <c r="M13" s="1" t="s">
        <v>367</v>
      </c>
      <c r="N13" s="1" t="s">
        <v>345</v>
      </c>
      <c r="O13" s="1" t="s">
        <v>122</v>
      </c>
      <c r="P13" s="1" t="s">
        <v>123</v>
      </c>
      <c r="Q13" s="1" t="s">
        <v>123</v>
      </c>
      <c r="R13" s="1" t="s">
        <v>847</v>
      </c>
      <c r="S13" s="40" t="s">
        <v>131</v>
      </c>
      <c r="T13" s="40" t="s">
        <v>132</v>
      </c>
      <c r="U13" s="40" t="s">
        <v>122</v>
      </c>
      <c r="V13" s="40"/>
    </row>
    <row r="14" spans="1:22" ht="24" x14ac:dyDescent="0.55000000000000004">
      <c r="A14" s="1" t="s">
        <v>848</v>
      </c>
      <c r="B14" s="1" t="s">
        <v>849</v>
      </c>
      <c r="C14" s="1" t="s">
        <v>327</v>
      </c>
      <c r="D14" s="1" t="s">
        <v>384</v>
      </c>
      <c r="E14" s="1" t="s">
        <v>391</v>
      </c>
      <c r="F14" s="1" t="s">
        <v>364</v>
      </c>
      <c r="G14" s="1" t="s">
        <v>751</v>
      </c>
      <c r="H14" s="1" t="s">
        <v>446</v>
      </c>
      <c r="I14" s="1" t="s">
        <v>513</v>
      </c>
      <c r="J14" s="1" t="s">
        <v>850</v>
      </c>
      <c r="K14" s="1" t="s">
        <v>373</v>
      </c>
      <c r="L14" s="1" t="s">
        <v>353</v>
      </c>
      <c r="M14" s="1" t="s">
        <v>367</v>
      </c>
      <c r="N14" s="1" t="s">
        <v>345</v>
      </c>
      <c r="O14" s="1" t="s">
        <v>122</v>
      </c>
      <c r="P14" s="1" t="s">
        <v>123</v>
      </c>
      <c r="Q14" s="1" t="s">
        <v>123</v>
      </c>
      <c r="R14" s="1" t="s">
        <v>851</v>
      </c>
      <c r="S14" s="40" t="s">
        <v>131</v>
      </c>
      <c r="T14" s="40" t="s">
        <v>132</v>
      </c>
      <c r="U14" s="40" t="s">
        <v>122</v>
      </c>
      <c r="V14" s="40"/>
    </row>
    <row r="15" spans="1:22" ht="24" x14ac:dyDescent="0.55000000000000004">
      <c r="A15" s="1" t="s">
        <v>852</v>
      </c>
      <c r="B15" s="1" t="s">
        <v>853</v>
      </c>
      <c r="C15" s="1" t="s">
        <v>327</v>
      </c>
      <c r="D15" s="1" t="s">
        <v>328</v>
      </c>
      <c r="E15" s="1" t="s">
        <v>338</v>
      </c>
      <c r="F15" s="1" t="s">
        <v>357</v>
      </c>
      <c r="G15" s="1" t="s">
        <v>854</v>
      </c>
      <c r="H15" s="1" t="s">
        <v>446</v>
      </c>
      <c r="I15" s="1" t="s">
        <v>513</v>
      </c>
      <c r="J15" s="1" t="s">
        <v>123</v>
      </c>
      <c r="K15" s="1" t="s">
        <v>373</v>
      </c>
      <c r="L15" s="1" t="s">
        <v>353</v>
      </c>
      <c r="M15" s="1" t="s">
        <v>367</v>
      </c>
      <c r="N15" s="1" t="s">
        <v>345</v>
      </c>
      <c r="O15" s="1" t="s">
        <v>122</v>
      </c>
      <c r="P15" s="1" t="s">
        <v>123</v>
      </c>
      <c r="Q15" s="1" t="s">
        <v>123</v>
      </c>
      <c r="R15" s="1" t="s">
        <v>855</v>
      </c>
      <c r="S15" s="40" t="s">
        <v>131</v>
      </c>
      <c r="T15" s="40" t="s">
        <v>132</v>
      </c>
      <c r="U15" s="40" t="s">
        <v>122</v>
      </c>
      <c r="V15" s="40"/>
    </row>
    <row r="16" spans="1:22" ht="24" x14ac:dyDescent="0.55000000000000004">
      <c r="A16" s="1" t="s">
        <v>856</v>
      </c>
      <c r="B16" s="1" t="s">
        <v>857</v>
      </c>
      <c r="C16" s="1" t="s">
        <v>411</v>
      </c>
      <c r="D16" s="1" t="s">
        <v>415</v>
      </c>
      <c r="E16" s="1" t="s">
        <v>416</v>
      </c>
      <c r="F16" s="1" t="s">
        <v>364</v>
      </c>
      <c r="G16" s="1" t="s">
        <v>854</v>
      </c>
      <c r="H16" s="1" t="s">
        <v>446</v>
      </c>
      <c r="I16" s="1" t="s">
        <v>513</v>
      </c>
      <c r="J16" s="1" t="s">
        <v>843</v>
      </c>
      <c r="K16" s="1" t="s">
        <v>373</v>
      </c>
      <c r="L16" s="1" t="s">
        <v>353</v>
      </c>
      <c r="M16" s="1" t="s">
        <v>367</v>
      </c>
      <c r="N16" s="1" t="s">
        <v>345</v>
      </c>
      <c r="O16" s="1" t="s">
        <v>122</v>
      </c>
      <c r="P16" s="1" t="s">
        <v>123</v>
      </c>
      <c r="Q16" s="1" t="s">
        <v>123</v>
      </c>
      <c r="R16" s="1" t="s">
        <v>847</v>
      </c>
      <c r="S16" s="40" t="s">
        <v>131</v>
      </c>
      <c r="T16" s="40" t="s">
        <v>132</v>
      </c>
      <c r="U16" s="40" t="s">
        <v>122</v>
      </c>
      <c r="V16" s="40"/>
    </row>
  </sheetData>
  <phoneticPr fontId="2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V11"/>
  <sheetViews>
    <sheetView zoomScaleNormal="100" workbookViewId="0">
      <pane ySplit="1" topLeftCell="A2" activePane="bottomLeft" state="frozen"/>
      <selection pane="bottomLeft" activeCell="H29" sqref="H29"/>
    </sheetView>
  </sheetViews>
  <sheetFormatPr defaultColWidth="10.85546875" defaultRowHeight="20.25" customHeight="1" x14ac:dyDescent="0.55000000000000004"/>
  <cols>
    <col min="1" max="1" width="10.85546875" style="1" customWidth="1"/>
    <col min="2" max="2" width="27.85546875" style="1" customWidth="1"/>
    <col min="3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861</v>
      </c>
      <c r="B2" s="1" t="s">
        <v>617</v>
      </c>
      <c r="C2" s="1" t="s">
        <v>327</v>
      </c>
      <c r="D2" s="1" t="s">
        <v>328</v>
      </c>
      <c r="E2" s="1" t="s">
        <v>338</v>
      </c>
      <c r="F2" s="1" t="s">
        <v>364</v>
      </c>
      <c r="G2" s="1" t="s">
        <v>862</v>
      </c>
      <c r="H2" s="1" t="s">
        <v>333</v>
      </c>
      <c r="I2" s="1" t="s">
        <v>657</v>
      </c>
      <c r="J2" s="1" t="s">
        <v>547</v>
      </c>
      <c r="K2" s="1" t="s">
        <v>373</v>
      </c>
      <c r="L2" s="1" t="s">
        <v>353</v>
      </c>
      <c r="M2" s="1" t="s">
        <v>123</v>
      </c>
      <c r="N2" s="1" t="s">
        <v>772</v>
      </c>
      <c r="O2" s="1" t="s">
        <v>122</v>
      </c>
      <c r="P2" s="23" t="s">
        <v>863</v>
      </c>
      <c r="Q2" s="1" t="s">
        <v>123</v>
      </c>
      <c r="R2" s="1" t="s">
        <v>864</v>
      </c>
      <c r="S2" s="40" t="s">
        <v>865</v>
      </c>
      <c r="T2" s="40" t="s">
        <v>135</v>
      </c>
      <c r="U2" s="40" t="s">
        <v>122</v>
      </c>
      <c r="V2" s="40"/>
    </row>
    <row r="3" spans="1:22" ht="24" x14ac:dyDescent="0.55000000000000004">
      <c r="A3" s="1" t="s">
        <v>866</v>
      </c>
      <c r="B3" s="1" t="s">
        <v>867</v>
      </c>
      <c r="C3" s="1" t="s">
        <v>327</v>
      </c>
      <c r="D3" s="1" t="s">
        <v>328</v>
      </c>
      <c r="E3" s="1" t="s">
        <v>369</v>
      </c>
      <c r="F3" s="1" t="s">
        <v>349</v>
      </c>
      <c r="G3" s="1" t="s">
        <v>380</v>
      </c>
      <c r="H3" s="1" t="s">
        <v>333</v>
      </c>
      <c r="I3" s="1" t="s">
        <v>868</v>
      </c>
      <c r="J3" s="1" t="s">
        <v>547</v>
      </c>
      <c r="K3" s="1" t="s">
        <v>373</v>
      </c>
      <c r="L3" s="1" t="s">
        <v>353</v>
      </c>
      <c r="M3" s="1" t="s">
        <v>123</v>
      </c>
      <c r="N3" s="1" t="s">
        <v>772</v>
      </c>
      <c r="O3" s="1" t="s">
        <v>122</v>
      </c>
      <c r="P3" s="23" t="s">
        <v>869</v>
      </c>
      <c r="Q3" s="1" t="s">
        <v>123</v>
      </c>
      <c r="R3" s="1" t="s">
        <v>870</v>
      </c>
      <c r="S3" s="40" t="s">
        <v>865</v>
      </c>
      <c r="T3" s="40" t="s">
        <v>135</v>
      </c>
      <c r="U3" s="40" t="s">
        <v>122</v>
      </c>
      <c r="V3" s="40"/>
    </row>
    <row r="4" spans="1:22" ht="24" x14ac:dyDescent="0.55000000000000004">
      <c r="A4" s="1" t="s">
        <v>871</v>
      </c>
      <c r="B4" s="1" t="s">
        <v>872</v>
      </c>
      <c r="C4" s="1" t="s">
        <v>327</v>
      </c>
      <c r="D4" s="1" t="s">
        <v>328</v>
      </c>
      <c r="E4" s="1" t="s">
        <v>338</v>
      </c>
      <c r="F4" s="1" t="s">
        <v>357</v>
      </c>
      <c r="G4" s="1" t="s">
        <v>380</v>
      </c>
      <c r="H4" s="1" t="s">
        <v>333</v>
      </c>
      <c r="I4" s="1" t="s">
        <v>657</v>
      </c>
      <c r="J4" s="1" t="s">
        <v>547</v>
      </c>
      <c r="K4" s="1" t="s">
        <v>373</v>
      </c>
      <c r="L4" s="1" t="s">
        <v>353</v>
      </c>
      <c r="M4" s="1" t="s">
        <v>382</v>
      </c>
      <c r="N4" s="1" t="s">
        <v>873</v>
      </c>
      <c r="O4" s="1" t="s">
        <v>122</v>
      </c>
      <c r="P4" s="23" t="s">
        <v>229</v>
      </c>
      <c r="Q4" s="1" t="s">
        <v>123</v>
      </c>
      <c r="R4" s="1" t="s">
        <v>874</v>
      </c>
      <c r="S4" s="40" t="s">
        <v>865</v>
      </c>
      <c r="T4" s="40" t="s">
        <v>135</v>
      </c>
      <c r="U4" s="40" t="s">
        <v>122</v>
      </c>
      <c r="V4" s="40"/>
    </row>
    <row r="5" spans="1:22" ht="24" x14ac:dyDescent="0.55000000000000004">
      <c r="A5" s="1" t="s">
        <v>875</v>
      </c>
      <c r="B5" s="1" t="s">
        <v>876</v>
      </c>
      <c r="C5" s="1" t="s">
        <v>327</v>
      </c>
      <c r="D5" s="1" t="s">
        <v>328</v>
      </c>
      <c r="E5" s="1" t="s">
        <v>338</v>
      </c>
      <c r="F5" s="1" t="s">
        <v>750</v>
      </c>
      <c r="G5" s="1" t="s">
        <v>877</v>
      </c>
      <c r="H5" s="1" t="s">
        <v>446</v>
      </c>
      <c r="I5" s="1" t="s">
        <v>513</v>
      </c>
      <c r="J5" s="1" t="s">
        <v>547</v>
      </c>
      <c r="K5" s="1" t="s">
        <v>373</v>
      </c>
      <c r="L5" s="1" t="s">
        <v>353</v>
      </c>
      <c r="M5" s="1" t="s">
        <v>367</v>
      </c>
      <c r="N5" s="1" t="s">
        <v>345</v>
      </c>
      <c r="O5" s="1" t="s">
        <v>122</v>
      </c>
      <c r="P5" s="1" t="s">
        <v>123</v>
      </c>
      <c r="Q5" s="1" t="s">
        <v>123</v>
      </c>
      <c r="R5" s="1" t="s">
        <v>878</v>
      </c>
      <c r="S5" s="40" t="s">
        <v>131</v>
      </c>
      <c r="T5" s="40" t="s">
        <v>132</v>
      </c>
      <c r="U5" s="40" t="s">
        <v>122</v>
      </c>
      <c r="V5" s="40"/>
    </row>
    <row r="6" spans="1:22" ht="24" x14ac:dyDescent="0.55000000000000004">
      <c r="A6" s="1" t="s">
        <v>879</v>
      </c>
      <c r="B6" s="1" t="s">
        <v>880</v>
      </c>
      <c r="C6" s="1" t="s">
        <v>327</v>
      </c>
      <c r="D6" s="1" t="s">
        <v>376</v>
      </c>
      <c r="E6" s="1" t="s">
        <v>377</v>
      </c>
      <c r="F6" s="1" t="s">
        <v>881</v>
      </c>
      <c r="G6" s="1" t="s">
        <v>877</v>
      </c>
      <c r="H6" s="1" t="s">
        <v>446</v>
      </c>
      <c r="I6" s="1" t="s">
        <v>513</v>
      </c>
      <c r="J6" s="1" t="s">
        <v>547</v>
      </c>
      <c r="K6" s="1" t="s">
        <v>373</v>
      </c>
      <c r="L6" s="1" t="s">
        <v>353</v>
      </c>
      <c r="M6" s="1" t="s">
        <v>367</v>
      </c>
      <c r="N6" s="1" t="s">
        <v>345</v>
      </c>
      <c r="O6" s="1" t="s">
        <v>122</v>
      </c>
      <c r="P6" s="1" t="s">
        <v>123</v>
      </c>
      <c r="Q6" s="1" t="s">
        <v>123</v>
      </c>
      <c r="R6" s="1" t="s">
        <v>882</v>
      </c>
      <c r="S6" s="40" t="s">
        <v>131</v>
      </c>
      <c r="T6" s="40" t="s">
        <v>132</v>
      </c>
      <c r="U6" s="40" t="s">
        <v>122</v>
      </c>
      <c r="V6" s="40"/>
    </row>
    <row r="7" spans="1:22" ht="24" x14ac:dyDescent="0.55000000000000004">
      <c r="A7" s="1" t="s">
        <v>883</v>
      </c>
      <c r="B7" s="1" t="s">
        <v>884</v>
      </c>
      <c r="C7" s="1" t="s">
        <v>327</v>
      </c>
      <c r="D7" s="1" t="s">
        <v>376</v>
      </c>
      <c r="E7" s="1" t="s">
        <v>377</v>
      </c>
      <c r="F7" s="1" t="s">
        <v>357</v>
      </c>
      <c r="G7" s="1" t="s">
        <v>885</v>
      </c>
      <c r="H7" s="1" t="s">
        <v>446</v>
      </c>
      <c r="I7" s="1" t="s">
        <v>513</v>
      </c>
      <c r="J7" s="1" t="s">
        <v>547</v>
      </c>
      <c r="K7" s="1" t="s">
        <v>373</v>
      </c>
      <c r="L7" s="1" t="s">
        <v>353</v>
      </c>
      <c r="M7" s="1" t="s">
        <v>367</v>
      </c>
      <c r="N7" s="1" t="s">
        <v>345</v>
      </c>
      <c r="O7" s="1" t="s">
        <v>122</v>
      </c>
      <c r="P7" s="1" t="s">
        <v>123</v>
      </c>
      <c r="Q7" s="1" t="s">
        <v>123</v>
      </c>
      <c r="R7" s="1" t="s">
        <v>886</v>
      </c>
      <c r="S7" s="40" t="s">
        <v>131</v>
      </c>
      <c r="T7" s="40" t="s">
        <v>132</v>
      </c>
      <c r="U7" s="40" t="s">
        <v>122</v>
      </c>
      <c r="V7" s="40"/>
    </row>
    <row r="8" spans="1:22" ht="24" x14ac:dyDescent="0.55000000000000004">
      <c r="A8" s="1" t="s">
        <v>887</v>
      </c>
      <c r="B8" s="1" t="s">
        <v>888</v>
      </c>
      <c r="C8" s="1" t="s">
        <v>327</v>
      </c>
      <c r="D8" s="1" t="s">
        <v>384</v>
      </c>
      <c r="E8" s="1" t="s">
        <v>391</v>
      </c>
      <c r="F8" s="1" t="s">
        <v>745</v>
      </c>
      <c r="G8" s="1" t="s">
        <v>885</v>
      </c>
      <c r="H8" s="1" t="s">
        <v>446</v>
      </c>
      <c r="I8" s="1" t="s">
        <v>513</v>
      </c>
      <c r="J8" s="1" t="s">
        <v>123</v>
      </c>
      <c r="K8" s="1" t="s">
        <v>373</v>
      </c>
      <c r="L8" s="1" t="s">
        <v>353</v>
      </c>
      <c r="M8" s="1" t="s">
        <v>367</v>
      </c>
      <c r="N8" s="1" t="s">
        <v>345</v>
      </c>
      <c r="O8" s="1" t="s">
        <v>122</v>
      </c>
      <c r="P8" s="1" t="s">
        <v>123</v>
      </c>
      <c r="Q8" s="1" t="s">
        <v>123</v>
      </c>
      <c r="R8" s="1" t="s">
        <v>889</v>
      </c>
      <c r="S8" s="40" t="s">
        <v>131</v>
      </c>
      <c r="T8" s="40" t="s">
        <v>132</v>
      </c>
      <c r="U8" s="40" t="s">
        <v>122</v>
      </c>
      <c r="V8" s="40"/>
    </row>
    <row r="9" spans="1:22" ht="24" x14ac:dyDescent="0.55000000000000004">
      <c r="A9" s="1" t="s">
        <v>890</v>
      </c>
      <c r="B9" s="1" t="s">
        <v>891</v>
      </c>
      <c r="C9" s="1" t="s">
        <v>327</v>
      </c>
      <c r="D9" s="1" t="s">
        <v>384</v>
      </c>
      <c r="E9" s="1" t="s">
        <v>391</v>
      </c>
      <c r="F9" s="1" t="s">
        <v>892</v>
      </c>
      <c r="G9" s="1" t="s">
        <v>885</v>
      </c>
      <c r="H9" s="1" t="s">
        <v>446</v>
      </c>
      <c r="I9" s="1" t="s">
        <v>513</v>
      </c>
      <c r="J9" s="1" t="s">
        <v>893</v>
      </c>
      <c r="K9" s="1" t="s">
        <v>373</v>
      </c>
      <c r="L9" s="1" t="s">
        <v>353</v>
      </c>
      <c r="M9" s="1" t="s">
        <v>367</v>
      </c>
      <c r="N9" s="1" t="s">
        <v>345</v>
      </c>
      <c r="O9" s="1" t="s">
        <v>122</v>
      </c>
      <c r="P9" s="1" t="s">
        <v>123</v>
      </c>
      <c r="Q9" s="1" t="s">
        <v>123</v>
      </c>
      <c r="R9" s="1" t="s">
        <v>894</v>
      </c>
      <c r="S9" s="40" t="s">
        <v>131</v>
      </c>
      <c r="T9" s="40" t="s">
        <v>132</v>
      </c>
      <c r="U9" s="40" t="s">
        <v>122</v>
      </c>
      <c r="V9" s="40"/>
    </row>
    <row r="10" spans="1:22" ht="24" x14ac:dyDescent="0.55000000000000004">
      <c r="A10" s="1" t="s">
        <v>895</v>
      </c>
      <c r="B10" s="1" t="s">
        <v>896</v>
      </c>
      <c r="C10" s="1" t="s">
        <v>327</v>
      </c>
      <c r="D10" s="1" t="s">
        <v>384</v>
      </c>
      <c r="E10" s="1" t="s">
        <v>391</v>
      </c>
      <c r="F10" s="1" t="s">
        <v>892</v>
      </c>
      <c r="G10" s="1" t="s">
        <v>885</v>
      </c>
      <c r="H10" s="1" t="s">
        <v>446</v>
      </c>
      <c r="I10" s="1" t="s">
        <v>513</v>
      </c>
      <c r="J10" s="1" t="s">
        <v>897</v>
      </c>
      <c r="K10" s="1" t="s">
        <v>373</v>
      </c>
      <c r="L10" s="1" t="s">
        <v>353</v>
      </c>
      <c r="M10" s="1" t="s">
        <v>367</v>
      </c>
      <c r="N10" s="1" t="s">
        <v>345</v>
      </c>
      <c r="O10" s="1" t="s">
        <v>122</v>
      </c>
      <c r="P10" s="1" t="s">
        <v>123</v>
      </c>
      <c r="Q10" s="1" t="s">
        <v>123</v>
      </c>
      <c r="R10" s="1" t="s">
        <v>898</v>
      </c>
      <c r="S10" s="40" t="s">
        <v>131</v>
      </c>
      <c r="T10" s="40" t="s">
        <v>132</v>
      </c>
      <c r="U10" s="40" t="s">
        <v>122</v>
      </c>
      <c r="V10" s="40"/>
    </row>
    <row r="11" spans="1:22" ht="24" x14ac:dyDescent="0.55000000000000004">
      <c r="A11" s="1" t="s">
        <v>899</v>
      </c>
      <c r="B11" s="1" t="s">
        <v>900</v>
      </c>
      <c r="C11" s="1" t="s">
        <v>327</v>
      </c>
      <c r="D11" s="1" t="s">
        <v>328</v>
      </c>
      <c r="E11" s="1" t="s">
        <v>338</v>
      </c>
      <c r="F11" s="1" t="s">
        <v>357</v>
      </c>
      <c r="G11" s="1" t="s">
        <v>756</v>
      </c>
      <c r="H11" s="1" t="s">
        <v>446</v>
      </c>
      <c r="I11" s="1" t="s">
        <v>513</v>
      </c>
      <c r="J11" s="1" t="s">
        <v>123</v>
      </c>
      <c r="K11" s="1" t="s">
        <v>373</v>
      </c>
      <c r="L11" s="1" t="s">
        <v>353</v>
      </c>
      <c r="M11" s="1" t="s">
        <v>367</v>
      </c>
      <c r="N11" s="1" t="s">
        <v>345</v>
      </c>
      <c r="O11" s="1" t="s">
        <v>122</v>
      </c>
      <c r="P11" s="1" t="s">
        <v>123</v>
      </c>
      <c r="Q11" s="1" t="s">
        <v>123</v>
      </c>
      <c r="R11" s="1" t="s">
        <v>901</v>
      </c>
      <c r="S11" s="40" t="s">
        <v>131</v>
      </c>
      <c r="T11" s="40" t="s">
        <v>132</v>
      </c>
      <c r="U11" s="40" t="s">
        <v>122</v>
      </c>
      <c r="V11" s="40"/>
    </row>
  </sheetData>
  <phoneticPr fontId="21" type="noConversion"/>
  <hyperlinks>
    <hyperlink ref="P4" r:id="rId1" xr:uid="{FF04C272-A695-2143-9283-5CA1D5BCE65E}"/>
    <hyperlink ref="P3" r:id="rId2" xr:uid="{DDE5390E-CECA-8C4C-B649-FFCDBC4B77EB}"/>
    <hyperlink ref="P2" r:id="rId3" xr:uid="{CD407DBF-BEB5-984B-A368-2FE1778B4495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V4"/>
  <sheetViews>
    <sheetView zoomScale="134" zoomScaleNormal="100" workbookViewId="0">
      <pane ySplit="1" topLeftCell="A2" activePane="bottomLeft" state="frozen"/>
      <selection pane="bottomLeft" activeCell="G3" sqref="G3"/>
    </sheetView>
  </sheetViews>
  <sheetFormatPr defaultColWidth="10.85546875" defaultRowHeight="20.25" customHeight="1" x14ac:dyDescent="0.55000000000000004"/>
  <cols>
    <col min="1" max="1" width="10.85546875" style="1" customWidth="1"/>
    <col min="2" max="2" width="22.140625" style="1" customWidth="1"/>
    <col min="3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902</v>
      </c>
      <c r="B2" s="1" t="s">
        <v>900</v>
      </c>
      <c r="C2" s="1" t="s">
        <v>327</v>
      </c>
      <c r="D2" s="1" t="s">
        <v>328</v>
      </c>
      <c r="E2" s="1" t="s">
        <v>338</v>
      </c>
      <c r="F2" s="1" t="s">
        <v>357</v>
      </c>
      <c r="G2" s="1" t="s">
        <v>903</v>
      </c>
      <c r="H2" s="1" t="s">
        <v>333</v>
      </c>
      <c r="I2" s="1" t="s">
        <v>904</v>
      </c>
      <c r="J2" s="1" t="s">
        <v>905</v>
      </c>
      <c r="K2" s="1" t="s">
        <v>373</v>
      </c>
      <c r="L2" s="1" t="s">
        <v>353</v>
      </c>
      <c r="M2" s="1" t="s">
        <v>382</v>
      </c>
      <c r="N2" s="1" t="s">
        <v>906</v>
      </c>
      <c r="O2" s="40" t="s">
        <v>139</v>
      </c>
      <c r="P2" s="23" t="s">
        <v>907</v>
      </c>
      <c r="Q2" s="1" t="s">
        <v>123</v>
      </c>
      <c r="R2" s="1" t="s">
        <v>218</v>
      </c>
      <c r="S2" s="40" t="s">
        <v>135</v>
      </c>
      <c r="T2" s="40" t="s">
        <v>135</v>
      </c>
      <c r="U2" s="40" t="s">
        <v>139</v>
      </c>
      <c r="V2" s="40"/>
    </row>
    <row r="3" spans="1:22" ht="24" x14ac:dyDescent="0.55000000000000004">
      <c r="A3" s="1" t="s">
        <v>908</v>
      </c>
      <c r="B3" s="1" t="s">
        <v>909</v>
      </c>
      <c r="C3" s="1" t="s">
        <v>327</v>
      </c>
      <c r="D3" s="1" t="s">
        <v>376</v>
      </c>
      <c r="E3" s="1" t="s">
        <v>377</v>
      </c>
      <c r="F3" s="1" t="s">
        <v>750</v>
      </c>
      <c r="G3" s="1" t="s">
        <v>910</v>
      </c>
      <c r="H3" s="1" t="s">
        <v>446</v>
      </c>
      <c r="I3" s="1" t="s">
        <v>513</v>
      </c>
      <c r="J3" s="1" t="s">
        <v>123</v>
      </c>
      <c r="K3" s="1" t="s">
        <v>373</v>
      </c>
      <c r="L3" s="1" t="s">
        <v>353</v>
      </c>
      <c r="M3" s="1" t="s">
        <v>367</v>
      </c>
      <c r="N3" s="1" t="s">
        <v>345</v>
      </c>
      <c r="O3" s="1" t="s">
        <v>122</v>
      </c>
      <c r="P3" s="1" t="s">
        <v>123</v>
      </c>
      <c r="Q3" s="1" t="s">
        <v>123</v>
      </c>
      <c r="R3" s="1" t="s">
        <v>911</v>
      </c>
      <c r="S3" s="40" t="s">
        <v>131</v>
      </c>
      <c r="T3" s="40" t="s">
        <v>132</v>
      </c>
      <c r="U3" s="40" t="s">
        <v>122</v>
      </c>
      <c r="V3" s="40"/>
    </row>
    <row r="4" spans="1:22" ht="24" x14ac:dyDescent="0.55000000000000004">
      <c r="A4" s="1" t="s">
        <v>912</v>
      </c>
      <c r="B4" s="1" t="s">
        <v>913</v>
      </c>
      <c r="C4" s="1" t="s">
        <v>327</v>
      </c>
      <c r="D4" s="1" t="s">
        <v>384</v>
      </c>
      <c r="E4" s="1" t="s">
        <v>397</v>
      </c>
      <c r="F4" s="1" t="s">
        <v>357</v>
      </c>
      <c r="G4" s="1" t="s">
        <v>797</v>
      </c>
      <c r="H4" s="1" t="s">
        <v>446</v>
      </c>
      <c r="I4" s="1" t="s">
        <v>513</v>
      </c>
      <c r="J4" s="1" t="s">
        <v>123</v>
      </c>
      <c r="K4" s="1" t="s">
        <v>373</v>
      </c>
      <c r="L4" s="1" t="s">
        <v>353</v>
      </c>
      <c r="M4" s="1" t="s">
        <v>367</v>
      </c>
      <c r="N4" s="1" t="s">
        <v>345</v>
      </c>
      <c r="O4" s="1" t="s">
        <v>122</v>
      </c>
      <c r="P4" s="1" t="s">
        <v>123</v>
      </c>
      <c r="Q4" s="1" t="s">
        <v>123</v>
      </c>
      <c r="R4" s="1" t="s">
        <v>914</v>
      </c>
      <c r="S4" s="40" t="s">
        <v>131</v>
      </c>
      <c r="T4" s="40" t="s">
        <v>132</v>
      </c>
      <c r="U4" s="40" t="s">
        <v>122</v>
      </c>
      <c r="V4" s="40"/>
    </row>
  </sheetData>
  <phoneticPr fontId="21" type="noConversion"/>
  <hyperlinks>
    <hyperlink ref="P2" r:id="rId1" xr:uid="{6A15331C-BFBA-AD4A-9D20-B7001098E36D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V10"/>
  <sheetViews>
    <sheetView zoomScaleNormal="100" workbookViewId="0">
      <pane ySplit="1" topLeftCell="A2" activePane="bottomLeft" state="frozen"/>
      <selection pane="bottomLeft" activeCell="G14" sqref="G14"/>
    </sheetView>
  </sheetViews>
  <sheetFormatPr defaultColWidth="10.85546875" defaultRowHeight="20.25" customHeight="1" x14ac:dyDescent="0.55000000000000004"/>
  <cols>
    <col min="1" max="1" width="10.85546875" style="1" customWidth="1"/>
    <col min="2" max="2" width="24.42578125" style="1" customWidth="1"/>
    <col min="3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915</v>
      </c>
      <c r="B2" s="1" t="s">
        <v>916</v>
      </c>
      <c r="C2" s="1" t="s">
        <v>327</v>
      </c>
      <c r="D2" s="1" t="s">
        <v>376</v>
      </c>
      <c r="E2" s="1" t="s">
        <v>377</v>
      </c>
      <c r="F2" s="1" t="s">
        <v>349</v>
      </c>
      <c r="G2" s="1" t="s">
        <v>365</v>
      </c>
      <c r="H2" s="1" t="s">
        <v>333</v>
      </c>
      <c r="I2" s="1" t="s">
        <v>761</v>
      </c>
      <c r="J2" s="1" t="s">
        <v>917</v>
      </c>
      <c r="K2" s="1" t="s">
        <v>373</v>
      </c>
      <c r="L2" s="1" t="s">
        <v>353</v>
      </c>
      <c r="M2" s="1" t="s">
        <v>400</v>
      </c>
      <c r="N2" s="1" t="s">
        <v>772</v>
      </c>
      <c r="O2" s="1" t="s">
        <v>122</v>
      </c>
      <c r="P2" s="23" t="s">
        <v>918</v>
      </c>
      <c r="R2" s="1" t="s">
        <v>186</v>
      </c>
      <c r="S2" s="40"/>
      <c r="T2" s="40"/>
      <c r="U2" s="40" t="s">
        <v>122</v>
      </c>
      <c r="V2" s="40"/>
    </row>
    <row r="3" spans="1:22" ht="24" x14ac:dyDescent="0.55000000000000004">
      <c r="A3" s="1" t="s">
        <v>919</v>
      </c>
      <c r="B3" s="1" t="s">
        <v>920</v>
      </c>
      <c r="C3" s="1" t="s">
        <v>327</v>
      </c>
      <c r="D3" s="1" t="s">
        <v>376</v>
      </c>
      <c r="E3" s="1" t="s">
        <v>377</v>
      </c>
      <c r="F3" s="1" t="s">
        <v>745</v>
      </c>
      <c r="G3" s="1" t="s">
        <v>785</v>
      </c>
      <c r="H3" s="1" t="s">
        <v>446</v>
      </c>
      <c r="I3" s="1" t="s">
        <v>513</v>
      </c>
      <c r="J3" s="1" t="s">
        <v>123</v>
      </c>
      <c r="K3" s="1" t="s">
        <v>373</v>
      </c>
      <c r="L3" s="1" t="s">
        <v>353</v>
      </c>
      <c r="M3" s="1" t="s">
        <v>400</v>
      </c>
      <c r="N3" s="1" t="s">
        <v>345</v>
      </c>
      <c r="O3" s="1" t="s">
        <v>122</v>
      </c>
      <c r="P3" s="1" t="s">
        <v>123</v>
      </c>
      <c r="Q3" s="1" t="s">
        <v>123</v>
      </c>
      <c r="R3" s="1" t="s">
        <v>921</v>
      </c>
      <c r="S3" s="40" t="s">
        <v>131</v>
      </c>
      <c r="T3" s="40" t="s">
        <v>132</v>
      </c>
      <c r="U3" s="40" t="s">
        <v>122</v>
      </c>
      <c r="V3" s="40"/>
    </row>
    <row r="4" spans="1:22" ht="24" x14ac:dyDescent="0.55000000000000004">
      <c r="A4" s="1" t="s">
        <v>922</v>
      </c>
      <c r="B4" s="1" t="s">
        <v>923</v>
      </c>
      <c r="C4" s="1" t="s">
        <v>327</v>
      </c>
      <c r="D4" s="1" t="s">
        <v>376</v>
      </c>
      <c r="E4" s="1" t="s">
        <v>377</v>
      </c>
      <c r="F4" s="1" t="s">
        <v>745</v>
      </c>
      <c r="G4" s="1" t="s">
        <v>785</v>
      </c>
      <c r="H4" s="1" t="s">
        <v>446</v>
      </c>
      <c r="I4" s="1" t="s">
        <v>513</v>
      </c>
      <c r="J4" s="1" t="s">
        <v>850</v>
      </c>
      <c r="K4" s="1" t="s">
        <v>373</v>
      </c>
      <c r="L4" s="1" t="s">
        <v>353</v>
      </c>
      <c r="M4" s="1" t="s">
        <v>400</v>
      </c>
      <c r="N4" s="1" t="s">
        <v>345</v>
      </c>
      <c r="O4" s="1" t="s">
        <v>122</v>
      </c>
      <c r="P4" s="1" t="s">
        <v>123</v>
      </c>
      <c r="Q4" s="1" t="s">
        <v>123</v>
      </c>
      <c r="R4" s="1" t="s">
        <v>924</v>
      </c>
      <c r="S4" s="40" t="s">
        <v>131</v>
      </c>
      <c r="T4" s="40" t="s">
        <v>132</v>
      </c>
      <c r="U4" s="40" t="s">
        <v>122</v>
      </c>
      <c r="V4" s="40"/>
    </row>
    <row r="5" spans="1:22" ht="24" x14ac:dyDescent="0.55000000000000004">
      <c r="A5" s="1" t="s">
        <v>925</v>
      </c>
      <c r="B5" s="1" t="s">
        <v>926</v>
      </c>
      <c r="C5" s="1" t="s">
        <v>327</v>
      </c>
      <c r="D5" s="1" t="s">
        <v>376</v>
      </c>
      <c r="E5" s="1" t="s">
        <v>377</v>
      </c>
      <c r="F5" s="1" t="s">
        <v>892</v>
      </c>
      <c r="G5" s="1" t="s">
        <v>785</v>
      </c>
      <c r="H5" s="1" t="s">
        <v>446</v>
      </c>
      <c r="I5" s="1" t="s">
        <v>513</v>
      </c>
      <c r="J5" s="1" t="s">
        <v>123</v>
      </c>
      <c r="K5" s="1" t="s">
        <v>373</v>
      </c>
      <c r="L5" s="1" t="s">
        <v>353</v>
      </c>
      <c r="M5" s="1" t="s">
        <v>400</v>
      </c>
      <c r="N5" s="1" t="s">
        <v>345</v>
      </c>
      <c r="O5" s="1" t="s">
        <v>122</v>
      </c>
      <c r="P5" s="1" t="s">
        <v>123</v>
      </c>
      <c r="Q5" s="1" t="s">
        <v>123</v>
      </c>
      <c r="R5" s="1" t="s">
        <v>927</v>
      </c>
      <c r="S5" s="40" t="s">
        <v>131</v>
      </c>
      <c r="T5" s="40" t="s">
        <v>132</v>
      </c>
      <c r="U5" s="40" t="s">
        <v>122</v>
      </c>
      <c r="V5" s="40"/>
    </row>
    <row r="6" spans="1:22" ht="24" x14ac:dyDescent="0.55000000000000004">
      <c r="A6" s="1" t="s">
        <v>928</v>
      </c>
      <c r="B6" s="1" t="s">
        <v>929</v>
      </c>
      <c r="C6" s="1" t="s">
        <v>327</v>
      </c>
      <c r="D6" s="1" t="s">
        <v>384</v>
      </c>
      <c r="E6" s="1" t="s">
        <v>391</v>
      </c>
      <c r="F6" s="1" t="s">
        <v>364</v>
      </c>
      <c r="G6" s="1" t="s">
        <v>785</v>
      </c>
      <c r="H6" s="1" t="s">
        <v>446</v>
      </c>
      <c r="I6" s="1" t="s">
        <v>513</v>
      </c>
      <c r="J6" s="1" t="s">
        <v>123</v>
      </c>
      <c r="K6" s="1" t="s">
        <v>373</v>
      </c>
      <c r="L6" s="1" t="s">
        <v>353</v>
      </c>
      <c r="M6" s="1" t="s">
        <v>400</v>
      </c>
      <c r="N6" s="1" t="s">
        <v>345</v>
      </c>
      <c r="O6" s="1" t="s">
        <v>122</v>
      </c>
      <c r="P6" s="1" t="s">
        <v>123</v>
      </c>
      <c r="Q6" s="1" t="s">
        <v>123</v>
      </c>
      <c r="R6" s="1" t="s">
        <v>930</v>
      </c>
      <c r="S6" s="40" t="s">
        <v>131</v>
      </c>
      <c r="T6" s="40" t="s">
        <v>132</v>
      </c>
      <c r="U6" s="40" t="s">
        <v>122</v>
      </c>
      <c r="V6" s="40"/>
    </row>
    <row r="7" spans="1:22" ht="24" x14ac:dyDescent="0.55000000000000004">
      <c r="A7" s="1" t="s">
        <v>931</v>
      </c>
      <c r="B7" s="1" t="s">
        <v>932</v>
      </c>
      <c r="C7" s="1" t="s">
        <v>327</v>
      </c>
      <c r="D7" s="1" t="s">
        <v>376</v>
      </c>
      <c r="E7" s="1" t="s">
        <v>377</v>
      </c>
      <c r="F7" s="1" t="s">
        <v>371</v>
      </c>
      <c r="G7" s="1" t="s">
        <v>785</v>
      </c>
      <c r="H7" s="1" t="s">
        <v>446</v>
      </c>
      <c r="I7" s="1" t="s">
        <v>513</v>
      </c>
      <c r="J7" s="1" t="s">
        <v>123</v>
      </c>
      <c r="K7" s="1" t="s">
        <v>373</v>
      </c>
      <c r="L7" s="1" t="s">
        <v>353</v>
      </c>
      <c r="M7" s="1" t="s">
        <v>400</v>
      </c>
      <c r="N7" s="1" t="s">
        <v>345</v>
      </c>
      <c r="O7" s="1" t="s">
        <v>122</v>
      </c>
      <c r="P7" s="1" t="s">
        <v>123</v>
      </c>
      <c r="Q7" s="1" t="s">
        <v>123</v>
      </c>
      <c r="R7" s="1" t="s">
        <v>933</v>
      </c>
      <c r="S7" s="40" t="s">
        <v>131</v>
      </c>
      <c r="T7" s="40" t="s">
        <v>132</v>
      </c>
      <c r="U7" s="40" t="s">
        <v>122</v>
      </c>
      <c r="V7" s="40"/>
    </row>
    <row r="8" spans="1:22" ht="24" x14ac:dyDescent="0.55000000000000004">
      <c r="A8" s="1" t="s">
        <v>934</v>
      </c>
      <c r="B8" s="1" t="s">
        <v>935</v>
      </c>
      <c r="C8" s="1" t="s">
        <v>327</v>
      </c>
      <c r="D8" s="1" t="s">
        <v>376</v>
      </c>
      <c r="E8" s="1" t="s">
        <v>377</v>
      </c>
      <c r="F8" s="1" t="s">
        <v>371</v>
      </c>
      <c r="G8" s="1" t="s">
        <v>785</v>
      </c>
      <c r="H8" s="1" t="s">
        <v>446</v>
      </c>
      <c r="I8" s="1" t="s">
        <v>513</v>
      </c>
      <c r="J8" s="1" t="s">
        <v>123</v>
      </c>
      <c r="K8" s="1" t="s">
        <v>373</v>
      </c>
      <c r="L8" s="1" t="s">
        <v>353</v>
      </c>
      <c r="M8" s="1" t="s">
        <v>400</v>
      </c>
      <c r="N8" s="1" t="s">
        <v>345</v>
      </c>
      <c r="O8" s="1" t="s">
        <v>122</v>
      </c>
      <c r="P8" s="1" t="s">
        <v>123</v>
      </c>
      <c r="Q8" s="1" t="s">
        <v>123</v>
      </c>
      <c r="R8" s="1" t="s">
        <v>936</v>
      </c>
      <c r="S8" s="40" t="s">
        <v>131</v>
      </c>
      <c r="T8" s="40" t="s">
        <v>132</v>
      </c>
      <c r="U8" s="40" t="s">
        <v>122</v>
      </c>
      <c r="V8" s="40"/>
    </row>
    <row r="9" spans="1:22" ht="24" x14ac:dyDescent="0.55000000000000004">
      <c r="A9" s="1" t="s">
        <v>937</v>
      </c>
      <c r="B9" s="1" t="s">
        <v>938</v>
      </c>
      <c r="C9" s="1" t="s">
        <v>327</v>
      </c>
      <c r="D9" s="1" t="s">
        <v>384</v>
      </c>
      <c r="E9" s="1" t="s">
        <v>391</v>
      </c>
      <c r="F9" s="1" t="s">
        <v>371</v>
      </c>
      <c r="G9" s="1" t="s">
        <v>785</v>
      </c>
      <c r="H9" s="1" t="s">
        <v>446</v>
      </c>
      <c r="I9" s="1" t="s">
        <v>513</v>
      </c>
      <c r="J9" s="1" t="s">
        <v>123</v>
      </c>
      <c r="K9" s="1" t="s">
        <v>373</v>
      </c>
      <c r="L9" s="1" t="s">
        <v>353</v>
      </c>
      <c r="M9" s="1" t="s">
        <v>400</v>
      </c>
      <c r="N9" s="1" t="s">
        <v>345</v>
      </c>
      <c r="O9" s="1" t="s">
        <v>122</v>
      </c>
      <c r="P9" s="1" t="s">
        <v>123</v>
      </c>
      <c r="Q9" s="1" t="s">
        <v>123</v>
      </c>
      <c r="R9" s="1" t="s">
        <v>939</v>
      </c>
      <c r="S9" s="40" t="s">
        <v>131</v>
      </c>
      <c r="T9" s="40" t="s">
        <v>132</v>
      </c>
      <c r="U9" s="40" t="s">
        <v>122</v>
      </c>
      <c r="V9" s="40"/>
    </row>
    <row r="10" spans="1:22" ht="24" x14ac:dyDescent="0.55000000000000004">
      <c r="A10" s="1" t="s">
        <v>940</v>
      </c>
      <c r="B10" s="1" t="s">
        <v>941</v>
      </c>
      <c r="C10" s="1" t="s">
        <v>327</v>
      </c>
      <c r="D10" s="1" t="s">
        <v>384</v>
      </c>
      <c r="E10" s="1" t="s">
        <v>397</v>
      </c>
      <c r="F10" s="1" t="s">
        <v>371</v>
      </c>
      <c r="G10" s="1" t="s">
        <v>785</v>
      </c>
      <c r="H10" s="1" t="s">
        <v>446</v>
      </c>
      <c r="I10" s="1" t="s">
        <v>513</v>
      </c>
      <c r="J10" s="1" t="s">
        <v>123</v>
      </c>
      <c r="K10" s="1" t="s">
        <v>373</v>
      </c>
      <c r="L10" s="1" t="s">
        <v>353</v>
      </c>
      <c r="M10" s="1" t="s">
        <v>400</v>
      </c>
      <c r="N10" s="1" t="s">
        <v>345</v>
      </c>
      <c r="O10" s="1" t="s">
        <v>122</v>
      </c>
      <c r="P10" s="1" t="s">
        <v>123</v>
      </c>
      <c r="Q10" s="1" t="s">
        <v>123</v>
      </c>
      <c r="R10" s="1" t="s">
        <v>942</v>
      </c>
      <c r="S10" s="40" t="s">
        <v>131</v>
      </c>
      <c r="T10" s="40" t="s">
        <v>132</v>
      </c>
      <c r="U10" s="40" t="s">
        <v>122</v>
      </c>
      <c r="V10" s="40"/>
    </row>
  </sheetData>
  <phoneticPr fontId="21" type="noConversion"/>
  <hyperlinks>
    <hyperlink ref="P2" r:id="rId1" xr:uid="{169AE691-36C8-394D-AAFB-C30ECF19A203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V5"/>
  <sheetViews>
    <sheetView zoomScaleNormal="169" workbookViewId="0">
      <pane ySplit="1" topLeftCell="A2" activePane="bottomLeft" state="frozen"/>
      <selection pane="bottomLeft" activeCell="T2" sqref="T2"/>
    </sheetView>
  </sheetViews>
  <sheetFormatPr defaultColWidth="10.85546875" defaultRowHeight="20.25" customHeight="1" x14ac:dyDescent="0.55000000000000004"/>
  <cols>
    <col min="1" max="1" width="10.85546875" style="1" customWidth="1"/>
    <col min="2" max="2" width="18.85546875" style="1" customWidth="1"/>
    <col min="3" max="17" width="10.85546875" style="1" customWidth="1"/>
    <col min="18" max="18" width="16.28515625" style="1" customWidth="1"/>
    <col min="19" max="19" width="10.85546875" style="1" customWidth="1"/>
    <col min="20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943</v>
      </c>
      <c r="B2" s="1" t="s">
        <v>944</v>
      </c>
      <c r="C2" s="11" t="s">
        <v>327</v>
      </c>
      <c r="D2" s="1" t="s">
        <v>376</v>
      </c>
      <c r="E2" s="1" t="s">
        <v>377</v>
      </c>
      <c r="F2" s="1" t="s">
        <v>349</v>
      </c>
      <c r="G2" s="1" t="s">
        <v>341</v>
      </c>
      <c r="H2" s="1" t="s">
        <v>333</v>
      </c>
      <c r="I2" s="1" t="s">
        <v>945</v>
      </c>
      <c r="J2" s="1" t="s">
        <v>946</v>
      </c>
      <c r="K2" s="1" t="s">
        <v>373</v>
      </c>
      <c r="L2" s="1" t="s">
        <v>353</v>
      </c>
      <c r="M2" s="1" t="s">
        <v>389</v>
      </c>
      <c r="N2" s="1" t="s">
        <v>345</v>
      </c>
      <c r="O2" s="1" t="s">
        <v>122</v>
      </c>
      <c r="P2" s="23" t="s">
        <v>947</v>
      </c>
      <c r="S2" s="40" t="s">
        <v>181</v>
      </c>
      <c r="T2" s="40" t="s">
        <v>135</v>
      </c>
      <c r="U2" s="40" t="s">
        <v>122</v>
      </c>
      <c r="V2" s="40"/>
    </row>
    <row r="3" spans="1:22" ht="24" x14ac:dyDescent="0.55000000000000004">
      <c r="A3" s="1" t="s">
        <v>948</v>
      </c>
      <c r="B3" s="1" t="s">
        <v>949</v>
      </c>
      <c r="C3" s="11" t="s">
        <v>327</v>
      </c>
      <c r="D3" s="1" t="s">
        <v>376</v>
      </c>
      <c r="E3" s="1" t="s">
        <v>377</v>
      </c>
      <c r="F3" s="1" t="s">
        <v>349</v>
      </c>
      <c r="G3" s="1" t="s">
        <v>341</v>
      </c>
      <c r="H3" s="1" t="s">
        <v>333</v>
      </c>
      <c r="I3" s="1" t="s">
        <v>123</v>
      </c>
      <c r="J3" s="1" t="s">
        <v>123</v>
      </c>
      <c r="K3" s="1" t="s">
        <v>373</v>
      </c>
      <c r="L3" s="1" t="s">
        <v>353</v>
      </c>
      <c r="M3" s="1" t="s">
        <v>389</v>
      </c>
      <c r="N3" s="1" t="s">
        <v>390</v>
      </c>
      <c r="O3" s="1" t="s">
        <v>122</v>
      </c>
      <c r="P3" s="23" t="s">
        <v>182</v>
      </c>
      <c r="R3" s="1" t="s">
        <v>950</v>
      </c>
      <c r="S3" s="40" t="s">
        <v>181</v>
      </c>
      <c r="T3" s="40" t="s">
        <v>135</v>
      </c>
      <c r="U3" s="40" t="s">
        <v>122</v>
      </c>
      <c r="V3" s="40"/>
    </row>
    <row r="4" spans="1:22" ht="24" x14ac:dyDescent="0.55000000000000004">
      <c r="A4" s="1" t="s">
        <v>951</v>
      </c>
      <c r="B4" s="1" t="s">
        <v>952</v>
      </c>
      <c r="C4" s="11" t="s">
        <v>422</v>
      </c>
      <c r="D4" s="1" t="s">
        <v>422</v>
      </c>
      <c r="E4" s="1" t="s">
        <v>423</v>
      </c>
      <c r="F4" s="1" t="s">
        <v>349</v>
      </c>
      <c r="G4" s="27" t="s">
        <v>380</v>
      </c>
      <c r="H4" s="1" t="s">
        <v>333</v>
      </c>
      <c r="I4" s="1" t="s">
        <v>647</v>
      </c>
      <c r="J4" s="1" t="s">
        <v>123</v>
      </c>
      <c r="K4" s="1" t="s">
        <v>123</v>
      </c>
      <c r="L4" s="1" t="s">
        <v>353</v>
      </c>
      <c r="M4" s="1" t="s">
        <v>382</v>
      </c>
      <c r="N4" s="1" t="s">
        <v>401</v>
      </c>
      <c r="O4" s="1" t="s">
        <v>122</v>
      </c>
      <c r="P4" s="23" t="s">
        <v>182</v>
      </c>
      <c r="S4" s="40" t="s">
        <v>181</v>
      </c>
      <c r="T4" s="40" t="s">
        <v>135</v>
      </c>
      <c r="U4" s="40" t="s">
        <v>122</v>
      </c>
      <c r="V4" s="40"/>
    </row>
    <row r="5" spans="1:22" ht="24" x14ac:dyDescent="0.55000000000000004">
      <c r="A5" s="1" t="s">
        <v>953</v>
      </c>
      <c r="B5" s="1" t="s">
        <v>954</v>
      </c>
      <c r="C5" s="1" t="s">
        <v>327</v>
      </c>
      <c r="D5" s="1" t="s">
        <v>384</v>
      </c>
      <c r="E5" s="1" t="s">
        <v>391</v>
      </c>
      <c r="F5" s="1" t="s">
        <v>892</v>
      </c>
      <c r="G5" s="1" t="s">
        <v>877</v>
      </c>
      <c r="H5" s="1" t="s">
        <v>446</v>
      </c>
      <c r="I5" s="1" t="s">
        <v>513</v>
      </c>
      <c r="J5" s="1" t="s">
        <v>955</v>
      </c>
      <c r="K5" s="1" t="s">
        <v>373</v>
      </c>
      <c r="L5" s="1" t="s">
        <v>353</v>
      </c>
      <c r="M5" s="1" t="s">
        <v>367</v>
      </c>
      <c r="N5" s="1" t="s">
        <v>345</v>
      </c>
      <c r="O5" s="1" t="s">
        <v>122</v>
      </c>
      <c r="P5" s="1" t="s">
        <v>123</v>
      </c>
      <c r="Q5" s="1" t="s">
        <v>123</v>
      </c>
      <c r="R5" s="1" t="s">
        <v>956</v>
      </c>
      <c r="S5" s="40" t="s">
        <v>131</v>
      </c>
      <c r="T5" s="40" t="s">
        <v>132</v>
      </c>
      <c r="U5" s="40" t="s">
        <v>122</v>
      </c>
      <c r="V5" s="40"/>
    </row>
  </sheetData>
  <phoneticPr fontId="21" type="noConversion"/>
  <hyperlinks>
    <hyperlink ref="P2" r:id="rId1" xr:uid="{00000000-0004-0000-0E00-000000000000}"/>
    <hyperlink ref="P3" r:id="rId2" xr:uid="{00000000-0004-0000-0E00-000001000000}"/>
    <hyperlink ref="P4" r:id="rId3" xr:uid="{00000000-0004-0000-0E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V5"/>
  <sheetViews>
    <sheetView zoomScale="115" zoomScaleNormal="100" workbookViewId="0">
      <pane ySplit="1" topLeftCell="A2" activePane="bottomLeft" state="frozen"/>
      <selection pane="bottomLeft" activeCell="I3" sqref="I3"/>
    </sheetView>
  </sheetViews>
  <sheetFormatPr defaultColWidth="10.85546875" defaultRowHeight="20.25" customHeight="1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957</v>
      </c>
      <c r="B2" s="1" t="s">
        <v>958</v>
      </c>
      <c r="C2" s="1" t="s">
        <v>327</v>
      </c>
      <c r="D2" s="1" t="s">
        <v>376</v>
      </c>
      <c r="E2" s="1" t="s">
        <v>377</v>
      </c>
      <c r="F2" s="1" t="s">
        <v>349</v>
      </c>
      <c r="G2" s="1" t="s">
        <v>959</v>
      </c>
      <c r="H2" s="1" t="s">
        <v>333</v>
      </c>
      <c r="I2" s="1" t="s">
        <v>761</v>
      </c>
      <c r="J2" s="1" t="s">
        <v>960</v>
      </c>
      <c r="K2" s="1" t="s">
        <v>373</v>
      </c>
      <c r="L2" s="1" t="s">
        <v>353</v>
      </c>
      <c r="M2" s="1" t="s">
        <v>123</v>
      </c>
      <c r="N2" s="1" t="s">
        <v>772</v>
      </c>
      <c r="O2" s="1" t="s">
        <v>122</v>
      </c>
      <c r="P2" s="23" t="s">
        <v>961</v>
      </c>
      <c r="Q2" s="1" t="s">
        <v>123</v>
      </c>
      <c r="R2" s="1" t="s">
        <v>173</v>
      </c>
      <c r="S2" s="40"/>
      <c r="T2" s="40"/>
      <c r="U2" s="40" t="s">
        <v>139</v>
      </c>
      <c r="V2" s="40"/>
    </row>
    <row r="3" spans="1:22" ht="24" x14ac:dyDescent="0.55000000000000004">
      <c r="A3" s="1" t="s">
        <v>962</v>
      </c>
      <c r="B3" s="1" t="s">
        <v>963</v>
      </c>
      <c r="C3" s="1" t="s">
        <v>327</v>
      </c>
      <c r="D3" s="1" t="s">
        <v>376</v>
      </c>
      <c r="E3" s="1" t="s">
        <v>377</v>
      </c>
      <c r="F3" s="1" t="s">
        <v>364</v>
      </c>
      <c r="G3" s="1" t="s">
        <v>821</v>
      </c>
      <c r="H3" s="1" t="s">
        <v>446</v>
      </c>
      <c r="I3" s="1" t="s">
        <v>513</v>
      </c>
      <c r="J3" s="1" t="s">
        <v>960</v>
      </c>
      <c r="K3" s="1" t="s">
        <v>373</v>
      </c>
      <c r="L3" s="1" t="s">
        <v>353</v>
      </c>
      <c r="M3" s="1" t="s">
        <v>367</v>
      </c>
      <c r="N3" s="1" t="s">
        <v>345</v>
      </c>
      <c r="O3" s="1" t="s">
        <v>122</v>
      </c>
      <c r="P3" s="1" t="s">
        <v>123</v>
      </c>
      <c r="Q3" s="1" t="s">
        <v>123</v>
      </c>
      <c r="R3" s="1" t="s">
        <v>964</v>
      </c>
      <c r="S3" s="40" t="s">
        <v>131</v>
      </c>
      <c r="T3" s="40" t="s">
        <v>132</v>
      </c>
      <c r="U3" s="40" t="s">
        <v>122</v>
      </c>
      <c r="V3" s="40"/>
    </row>
    <row r="4" spans="1:22" ht="24" x14ac:dyDescent="0.55000000000000004">
      <c r="A4" s="1" t="s">
        <v>965</v>
      </c>
      <c r="B4" s="1" t="s">
        <v>966</v>
      </c>
      <c r="C4" s="1" t="s">
        <v>327</v>
      </c>
      <c r="D4" s="1" t="s">
        <v>376</v>
      </c>
      <c r="E4" s="1" t="s">
        <v>377</v>
      </c>
      <c r="F4" s="1" t="s">
        <v>364</v>
      </c>
      <c r="G4" s="1" t="s">
        <v>877</v>
      </c>
      <c r="H4" s="1" t="s">
        <v>446</v>
      </c>
      <c r="I4" s="1" t="s">
        <v>513</v>
      </c>
      <c r="J4" s="1" t="s">
        <v>123</v>
      </c>
      <c r="K4" s="1" t="s">
        <v>373</v>
      </c>
      <c r="L4" s="1" t="s">
        <v>353</v>
      </c>
      <c r="M4" s="1" t="s">
        <v>367</v>
      </c>
      <c r="N4" s="1" t="s">
        <v>345</v>
      </c>
      <c r="O4" s="1" t="s">
        <v>122</v>
      </c>
      <c r="P4" s="1" t="s">
        <v>123</v>
      </c>
      <c r="Q4" s="1" t="s">
        <v>123</v>
      </c>
      <c r="R4" s="1" t="s">
        <v>967</v>
      </c>
      <c r="S4" s="40" t="s">
        <v>131</v>
      </c>
      <c r="T4" s="40" t="s">
        <v>132</v>
      </c>
      <c r="U4" s="40" t="s">
        <v>122</v>
      </c>
      <c r="V4" s="40"/>
    </row>
    <row r="5" spans="1:22" ht="24" x14ac:dyDescent="0.55000000000000004">
      <c r="A5" s="1" t="s">
        <v>968</v>
      </c>
      <c r="B5" s="1" t="s">
        <v>969</v>
      </c>
      <c r="C5" s="1" t="s">
        <v>327</v>
      </c>
      <c r="D5" s="1" t="s">
        <v>376</v>
      </c>
      <c r="E5" s="1" t="s">
        <v>377</v>
      </c>
      <c r="F5" s="1" t="s">
        <v>364</v>
      </c>
      <c r="G5" s="1" t="s">
        <v>785</v>
      </c>
      <c r="H5" s="1" t="s">
        <v>446</v>
      </c>
      <c r="I5" s="1" t="s">
        <v>513</v>
      </c>
      <c r="J5" s="1" t="s">
        <v>123</v>
      </c>
      <c r="K5" s="1" t="s">
        <v>373</v>
      </c>
      <c r="L5" s="1" t="s">
        <v>353</v>
      </c>
      <c r="M5" s="1" t="s">
        <v>367</v>
      </c>
      <c r="N5" s="1" t="s">
        <v>345</v>
      </c>
      <c r="O5" s="1" t="s">
        <v>122</v>
      </c>
      <c r="P5" s="1" t="s">
        <v>123</v>
      </c>
      <c r="Q5" s="1" t="s">
        <v>123</v>
      </c>
      <c r="R5" s="1" t="s">
        <v>970</v>
      </c>
      <c r="S5" s="40" t="s">
        <v>131</v>
      </c>
      <c r="T5" s="40" t="s">
        <v>132</v>
      </c>
      <c r="U5" s="40" t="s">
        <v>122</v>
      </c>
      <c r="V5" s="40"/>
    </row>
  </sheetData>
  <phoneticPr fontId="21" type="noConversion"/>
  <hyperlinks>
    <hyperlink ref="P2" r:id="rId1" xr:uid="{AC40FB0E-E2E7-2241-A529-A4A64A9ED067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V4"/>
  <sheetViews>
    <sheetView zoomScaleNormal="100" workbookViewId="0">
      <pane ySplit="1" topLeftCell="A2" activePane="bottomLeft" state="frozen"/>
      <selection pane="bottomLeft" activeCell="E32" sqref="E32"/>
    </sheetView>
  </sheetViews>
  <sheetFormatPr defaultColWidth="10.85546875" defaultRowHeight="20.25" customHeight="1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971</v>
      </c>
      <c r="B2" s="1" t="s">
        <v>972</v>
      </c>
      <c r="C2" s="1" t="s">
        <v>327</v>
      </c>
      <c r="D2" s="1" t="s">
        <v>376</v>
      </c>
      <c r="E2" s="1" t="s">
        <v>377</v>
      </c>
      <c r="F2" s="1" t="s">
        <v>349</v>
      </c>
      <c r="G2" s="1" t="s">
        <v>365</v>
      </c>
      <c r="H2" s="1" t="s">
        <v>333</v>
      </c>
      <c r="I2" s="1" t="s">
        <v>761</v>
      </c>
      <c r="J2" s="1" t="s">
        <v>917</v>
      </c>
      <c r="K2" s="1" t="s">
        <v>373</v>
      </c>
      <c r="L2" s="1" t="s">
        <v>353</v>
      </c>
      <c r="M2" s="1" t="s">
        <v>400</v>
      </c>
      <c r="N2" s="1" t="s">
        <v>973</v>
      </c>
      <c r="O2" s="1" t="s">
        <v>122</v>
      </c>
      <c r="P2" s="23" t="s">
        <v>974</v>
      </c>
      <c r="Q2" s="1" t="s">
        <v>123</v>
      </c>
      <c r="R2" s="1" t="s">
        <v>197</v>
      </c>
      <c r="S2" s="40" t="s">
        <v>975</v>
      </c>
      <c r="T2" s="40" t="s">
        <v>135</v>
      </c>
      <c r="U2" s="40" t="s">
        <v>139</v>
      </c>
      <c r="V2" s="40"/>
    </row>
    <row r="3" spans="1:22" ht="24" x14ac:dyDescent="0.55000000000000004">
      <c r="A3" s="1" t="s">
        <v>976</v>
      </c>
      <c r="B3" s="1" t="s">
        <v>977</v>
      </c>
      <c r="C3" s="1" t="s">
        <v>327</v>
      </c>
      <c r="D3" s="1" t="s">
        <v>376</v>
      </c>
      <c r="E3" s="1" t="s">
        <v>377</v>
      </c>
      <c r="F3" s="1" t="s">
        <v>364</v>
      </c>
      <c r="G3" s="1" t="s">
        <v>877</v>
      </c>
      <c r="H3" s="1" t="s">
        <v>446</v>
      </c>
      <c r="I3" s="1" t="s">
        <v>513</v>
      </c>
      <c r="J3" s="1" t="s">
        <v>123</v>
      </c>
      <c r="K3" s="1" t="s">
        <v>373</v>
      </c>
      <c r="L3" s="1" t="s">
        <v>353</v>
      </c>
      <c r="M3" s="1" t="s">
        <v>367</v>
      </c>
      <c r="N3" s="1" t="s">
        <v>345</v>
      </c>
      <c r="O3" s="1" t="s">
        <v>122</v>
      </c>
      <c r="P3" s="1" t="s">
        <v>123</v>
      </c>
      <c r="Q3" s="1" t="s">
        <v>123</v>
      </c>
      <c r="R3" s="1" t="s">
        <v>978</v>
      </c>
      <c r="S3" s="40" t="s">
        <v>131</v>
      </c>
      <c r="T3" s="40" t="s">
        <v>132</v>
      </c>
      <c r="U3" s="40" t="s">
        <v>122</v>
      </c>
      <c r="V3" s="40"/>
    </row>
    <row r="4" spans="1:22" ht="24" x14ac:dyDescent="0.55000000000000004">
      <c r="A4" s="1" t="s">
        <v>979</v>
      </c>
      <c r="B4" s="1" t="s">
        <v>980</v>
      </c>
      <c r="C4" s="1" t="s">
        <v>327</v>
      </c>
      <c r="D4" s="1" t="s">
        <v>376</v>
      </c>
      <c r="E4" s="1" t="s">
        <v>377</v>
      </c>
      <c r="F4" s="1" t="s">
        <v>364</v>
      </c>
      <c r="G4" s="1" t="s">
        <v>785</v>
      </c>
      <c r="H4" s="1" t="s">
        <v>446</v>
      </c>
      <c r="I4" s="1" t="s">
        <v>513</v>
      </c>
      <c r="J4" s="1" t="s">
        <v>123</v>
      </c>
      <c r="K4" s="1" t="s">
        <v>373</v>
      </c>
      <c r="L4" s="1" t="s">
        <v>353</v>
      </c>
      <c r="M4" s="1" t="s">
        <v>400</v>
      </c>
      <c r="N4" s="1" t="s">
        <v>345</v>
      </c>
      <c r="O4" s="1" t="s">
        <v>122</v>
      </c>
      <c r="P4" s="1" t="s">
        <v>123</v>
      </c>
      <c r="Q4" s="1" t="s">
        <v>123</v>
      </c>
      <c r="R4" s="1" t="s">
        <v>981</v>
      </c>
      <c r="S4" s="40" t="s">
        <v>131</v>
      </c>
      <c r="T4" s="40" t="s">
        <v>132</v>
      </c>
      <c r="U4" s="40" t="s">
        <v>122</v>
      </c>
      <c r="V4" s="40"/>
    </row>
  </sheetData>
  <phoneticPr fontId="21" type="noConversion"/>
  <hyperlinks>
    <hyperlink ref="P2" r:id="rId1" xr:uid="{766B0B23-51B7-F04E-BAA8-810D28E12B1E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V4"/>
  <sheetViews>
    <sheetView zoomScale="139" zoomScaleNormal="82" workbookViewId="0">
      <pane ySplit="1" topLeftCell="A2" activePane="bottomLeft" state="frozen"/>
      <selection pane="bottomLeft" activeCell="G8" sqref="G8"/>
    </sheetView>
  </sheetViews>
  <sheetFormatPr defaultColWidth="10.85546875" defaultRowHeight="20.25" customHeight="1" x14ac:dyDescent="0.55000000000000004"/>
  <cols>
    <col min="1" max="1" width="14.71093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982</v>
      </c>
      <c r="B2" s="1" t="s">
        <v>983</v>
      </c>
      <c r="C2" s="1" t="s">
        <v>327</v>
      </c>
      <c r="D2" s="1" t="s">
        <v>376</v>
      </c>
      <c r="E2" s="1" t="s">
        <v>377</v>
      </c>
      <c r="F2" s="1" t="s">
        <v>349</v>
      </c>
      <c r="G2" s="1" t="s">
        <v>358</v>
      </c>
      <c r="H2" s="1" t="s">
        <v>333</v>
      </c>
      <c r="I2" s="1" t="s">
        <v>984</v>
      </c>
      <c r="J2" s="1" t="s">
        <v>985</v>
      </c>
      <c r="K2" s="1" t="s">
        <v>373</v>
      </c>
      <c r="L2" s="1" t="s">
        <v>353</v>
      </c>
      <c r="M2" s="1" t="s">
        <v>400</v>
      </c>
      <c r="N2" s="1" t="s">
        <v>772</v>
      </c>
      <c r="O2" s="1" t="s">
        <v>122</v>
      </c>
      <c r="P2" s="23" t="s">
        <v>986</v>
      </c>
      <c r="Q2" s="1" t="s">
        <v>123</v>
      </c>
      <c r="R2" s="1" t="s">
        <v>177</v>
      </c>
      <c r="S2" s="40" t="s">
        <v>987</v>
      </c>
      <c r="T2" s="40" t="s">
        <v>135</v>
      </c>
      <c r="U2" s="40" t="s">
        <v>139</v>
      </c>
      <c r="V2" s="40"/>
    </row>
    <row r="3" spans="1:22" ht="24" x14ac:dyDescent="0.55000000000000004">
      <c r="A3" s="1" t="s">
        <v>988</v>
      </c>
      <c r="B3" s="1" t="s">
        <v>989</v>
      </c>
      <c r="C3" s="1" t="s">
        <v>411</v>
      </c>
      <c r="D3" s="1" t="s">
        <v>415</v>
      </c>
      <c r="E3" s="1" t="s">
        <v>416</v>
      </c>
      <c r="F3" s="1" t="s">
        <v>990</v>
      </c>
      <c r="G3" s="1" t="s">
        <v>358</v>
      </c>
      <c r="H3" s="1" t="s">
        <v>333</v>
      </c>
      <c r="I3" s="1" t="s">
        <v>984</v>
      </c>
      <c r="J3" s="1" t="s">
        <v>991</v>
      </c>
      <c r="K3" s="1" t="s">
        <v>373</v>
      </c>
      <c r="L3" s="1" t="s">
        <v>353</v>
      </c>
      <c r="M3" s="1" t="s">
        <v>123</v>
      </c>
      <c r="O3" s="1" t="s">
        <v>122</v>
      </c>
      <c r="P3" s="1" t="s">
        <v>123</v>
      </c>
      <c r="Q3" s="1" t="s">
        <v>649</v>
      </c>
      <c r="R3" s="1" t="s">
        <v>992</v>
      </c>
      <c r="S3" s="40" t="s">
        <v>987</v>
      </c>
      <c r="T3" s="40" t="s">
        <v>135</v>
      </c>
      <c r="U3" s="40" t="s">
        <v>122</v>
      </c>
      <c r="V3" s="40"/>
    </row>
    <row r="4" spans="1:22" ht="24" x14ac:dyDescent="0.55000000000000004">
      <c r="A4" s="1" t="s">
        <v>993</v>
      </c>
      <c r="B4" s="1" t="s">
        <v>994</v>
      </c>
      <c r="C4" s="1" t="s">
        <v>327</v>
      </c>
      <c r="D4" s="1" t="s">
        <v>384</v>
      </c>
      <c r="E4" s="1" t="s">
        <v>391</v>
      </c>
      <c r="F4" s="1" t="s">
        <v>892</v>
      </c>
      <c r="G4" s="1" t="s">
        <v>995</v>
      </c>
      <c r="H4" s="1" t="s">
        <v>446</v>
      </c>
      <c r="I4" s="1" t="s">
        <v>513</v>
      </c>
      <c r="J4" s="1" t="s">
        <v>946</v>
      </c>
      <c r="K4" s="1" t="s">
        <v>373</v>
      </c>
      <c r="L4" s="1" t="s">
        <v>353</v>
      </c>
      <c r="M4" s="1" t="s">
        <v>367</v>
      </c>
      <c r="N4" s="1" t="s">
        <v>345</v>
      </c>
      <c r="O4" s="1" t="s">
        <v>122</v>
      </c>
      <c r="P4" s="1" t="s">
        <v>123</v>
      </c>
      <c r="Q4" s="1" t="s">
        <v>123</v>
      </c>
      <c r="R4" s="1" t="s">
        <v>996</v>
      </c>
      <c r="S4" s="40" t="s">
        <v>131</v>
      </c>
      <c r="T4" s="40" t="s">
        <v>132</v>
      </c>
      <c r="U4" s="40" t="s">
        <v>122</v>
      </c>
      <c r="V4" s="40"/>
    </row>
  </sheetData>
  <phoneticPr fontId="21" type="noConversion"/>
  <hyperlinks>
    <hyperlink ref="P2" r:id="rId1" xr:uid="{69AE508C-D29F-EF4A-ACE9-AE4DD229513A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V2"/>
  <sheetViews>
    <sheetView zoomScale="157" zoomScaleNormal="157" workbookViewId="0">
      <pane ySplit="1" topLeftCell="A2" activePane="bottomLeft" state="frozen"/>
      <selection pane="bottomLeft" activeCell="S9" sqref="S9"/>
    </sheetView>
  </sheetViews>
  <sheetFormatPr defaultColWidth="10.85546875" defaultRowHeight="20.25" customHeight="1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997</v>
      </c>
      <c r="B2" s="1" t="s">
        <v>998</v>
      </c>
      <c r="C2" s="1" t="s">
        <v>327</v>
      </c>
      <c r="D2" s="1" t="s">
        <v>384</v>
      </c>
      <c r="E2" s="1" t="s">
        <v>391</v>
      </c>
      <c r="F2" s="1" t="s">
        <v>349</v>
      </c>
      <c r="G2" s="1" t="s">
        <v>341</v>
      </c>
      <c r="H2" s="1" t="s">
        <v>333</v>
      </c>
      <c r="I2" s="1" t="s">
        <v>984</v>
      </c>
      <c r="J2" s="1" t="s">
        <v>955</v>
      </c>
      <c r="K2" s="1" t="s">
        <v>373</v>
      </c>
      <c r="L2" s="1" t="s">
        <v>353</v>
      </c>
      <c r="M2" s="1" t="s">
        <v>389</v>
      </c>
      <c r="N2" s="1" t="s">
        <v>648</v>
      </c>
      <c r="O2" s="1" t="s">
        <v>122</v>
      </c>
      <c r="P2" s="23" t="s">
        <v>999</v>
      </c>
      <c r="R2" s="1" t="s">
        <v>127</v>
      </c>
      <c r="S2" s="40" t="s">
        <v>1000</v>
      </c>
      <c r="T2" s="40" t="s">
        <v>135</v>
      </c>
      <c r="U2" s="40" t="s">
        <v>139</v>
      </c>
      <c r="V2" s="40"/>
    </row>
  </sheetData>
  <hyperlinks>
    <hyperlink ref="P2" r:id="rId1" xr:uid="{CDFE96B3-18A2-9C40-8DC9-E863717A8B1F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V2"/>
  <sheetViews>
    <sheetView zoomScaleNormal="100" workbookViewId="0">
      <pane ySplit="1" topLeftCell="A2" activePane="bottomLeft" state="frozen"/>
      <selection pane="bottomLeft" activeCell="U2" sqref="U2"/>
    </sheetView>
  </sheetViews>
  <sheetFormatPr defaultColWidth="10.85546875" defaultRowHeight="20.25" customHeight="1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1001</v>
      </c>
      <c r="B2" s="1" t="s">
        <v>1002</v>
      </c>
      <c r="C2" s="1" t="s">
        <v>327</v>
      </c>
      <c r="D2" s="1" t="s">
        <v>376</v>
      </c>
      <c r="E2" s="1" t="s">
        <v>377</v>
      </c>
      <c r="F2" s="1" t="s">
        <v>349</v>
      </c>
      <c r="G2" s="1" t="s">
        <v>341</v>
      </c>
      <c r="H2" s="1" t="s">
        <v>333</v>
      </c>
      <c r="I2" s="1" t="s">
        <v>984</v>
      </c>
      <c r="J2" s="1" t="s">
        <v>1003</v>
      </c>
      <c r="K2" s="1" t="s">
        <v>373</v>
      </c>
      <c r="L2" s="1" t="s">
        <v>353</v>
      </c>
      <c r="M2" s="1" t="s">
        <v>123</v>
      </c>
      <c r="N2" s="1" t="s">
        <v>648</v>
      </c>
      <c r="O2" s="1" t="s">
        <v>122</v>
      </c>
      <c r="P2" s="23" t="s">
        <v>1004</v>
      </c>
      <c r="Q2" s="1" t="s">
        <v>123</v>
      </c>
      <c r="R2" s="1" t="s">
        <v>263</v>
      </c>
      <c r="S2" s="40" t="s">
        <v>1005</v>
      </c>
      <c r="T2" s="40" t="s">
        <v>135</v>
      </c>
      <c r="U2" s="40" t="s">
        <v>139</v>
      </c>
      <c r="V2" s="40"/>
    </row>
  </sheetData>
  <hyperlinks>
    <hyperlink ref="P2" r:id="rId1" xr:uid="{70C97A97-27AC-244B-9089-049BBFC0EE45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V2"/>
  <sheetViews>
    <sheetView zoomScaleNormal="100" workbookViewId="0">
      <pane ySplit="1" topLeftCell="A2" activePane="bottomLeft" state="frozen"/>
      <selection pane="bottomLeft" activeCell="C3" sqref="C3"/>
    </sheetView>
  </sheetViews>
  <sheetFormatPr defaultColWidth="10.85546875" defaultRowHeight="20.25" customHeight="1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1006</v>
      </c>
      <c r="B2" s="1" t="s">
        <v>1007</v>
      </c>
      <c r="C2" s="1" t="s">
        <v>327</v>
      </c>
      <c r="D2" s="1" t="s">
        <v>376</v>
      </c>
      <c r="E2" s="1" t="s">
        <v>377</v>
      </c>
      <c r="F2" s="1" t="s">
        <v>349</v>
      </c>
      <c r="G2" s="1" t="s">
        <v>341</v>
      </c>
      <c r="H2" s="1" t="s">
        <v>333</v>
      </c>
      <c r="I2" s="1" t="s">
        <v>984</v>
      </c>
      <c r="J2" s="1" t="s">
        <v>985</v>
      </c>
      <c r="K2" s="1" t="s">
        <v>373</v>
      </c>
      <c r="L2" s="1" t="s">
        <v>353</v>
      </c>
      <c r="M2" s="1" t="s">
        <v>123</v>
      </c>
      <c r="N2" s="1" t="s">
        <v>648</v>
      </c>
      <c r="O2" s="1" t="s">
        <v>122</v>
      </c>
      <c r="P2" s="23" t="s">
        <v>1008</v>
      </c>
      <c r="Q2" s="1" t="s">
        <v>123</v>
      </c>
      <c r="R2" s="1" t="s">
        <v>240</v>
      </c>
      <c r="S2" s="40" t="s">
        <v>1009</v>
      </c>
      <c r="T2" s="40" t="s">
        <v>135</v>
      </c>
      <c r="U2" s="40" t="s">
        <v>139</v>
      </c>
      <c r="V2" s="40"/>
    </row>
  </sheetData>
  <hyperlinks>
    <hyperlink ref="P2" r:id="rId1" xr:uid="{D034226E-708E-0948-A66C-4F2B176E79A5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V2"/>
  <sheetViews>
    <sheetView zoomScaleNormal="100" workbookViewId="0">
      <pane ySplit="1" topLeftCell="A2" activePane="bottomLeft" state="frozen"/>
      <selection pane="bottomLeft" activeCell="H19" sqref="H19"/>
    </sheetView>
  </sheetViews>
  <sheetFormatPr defaultColWidth="10.85546875" defaultRowHeight="20.25" customHeight="1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1010</v>
      </c>
      <c r="B2" s="1" t="s">
        <v>1011</v>
      </c>
      <c r="C2" s="1" t="s">
        <v>327</v>
      </c>
      <c r="D2" s="1" t="s">
        <v>376</v>
      </c>
      <c r="E2" s="1" t="s">
        <v>377</v>
      </c>
      <c r="F2" s="1" t="s">
        <v>349</v>
      </c>
      <c r="G2" s="1" t="s">
        <v>1012</v>
      </c>
      <c r="H2" s="1" t="s">
        <v>333</v>
      </c>
      <c r="I2" s="1" t="s">
        <v>761</v>
      </c>
      <c r="J2" s="1" t="s">
        <v>777</v>
      </c>
      <c r="K2" s="1" t="s">
        <v>373</v>
      </c>
      <c r="L2" s="1" t="s">
        <v>353</v>
      </c>
      <c r="M2" s="1" t="s">
        <v>123</v>
      </c>
      <c r="N2" s="1" t="s">
        <v>648</v>
      </c>
      <c r="O2" s="1" t="s">
        <v>122</v>
      </c>
      <c r="P2" s="23" t="s">
        <v>1013</v>
      </c>
      <c r="Q2" s="1" t="s">
        <v>123</v>
      </c>
      <c r="R2" s="1" t="s">
        <v>222</v>
      </c>
      <c r="S2" s="40" t="s">
        <v>1014</v>
      </c>
      <c r="T2" s="40" t="s">
        <v>132</v>
      </c>
      <c r="U2" s="40" t="s">
        <v>139</v>
      </c>
      <c r="V2" s="40"/>
    </row>
  </sheetData>
  <hyperlinks>
    <hyperlink ref="P2" r:id="rId1" xr:uid="{3CAA3793-78A0-C24A-BFC4-0D31B3EC586D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V2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10.85546875" defaultRowHeight="20.25" customHeight="1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1015</v>
      </c>
      <c r="B2" s="1" t="s">
        <v>1016</v>
      </c>
      <c r="C2" s="1" t="s">
        <v>327</v>
      </c>
      <c r="D2" s="1" t="s">
        <v>376</v>
      </c>
      <c r="E2" s="1" t="s">
        <v>377</v>
      </c>
      <c r="F2" s="1" t="s">
        <v>349</v>
      </c>
      <c r="G2" s="1" t="s">
        <v>372</v>
      </c>
      <c r="H2" s="1" t="s">
        <v>333</v>
      </c>
      <c r="I2" s="1" t="s">
        <v>761</v>
      </c>
      <c r="J2" s="1" t="s">
        <v>985</v>
      </c>
      <c r="K2" s="1" t="s">
        <v>373</v>
      </c>
      <c r="L2" s="1" t="s">
        <v>353</v>
      </c>
      <c r="M2" s="1" t="s">
        <v>400</v>
      </c>
      <c r="N2" s="1" t="s">
        <v>1017</v>
      </c>
      <c r="O2" s="1" t="s">
        <v>122</v>
      </c>
      <c r="P2" s="23" t="s">
        <v>1018</v>
      </c>
      <c r="Q2" s="1" t="s">
        <v>123</v>
      </c>
      <c r="R2" s="1" t="s">
        <v>247</v>
      </c>
      <c r="S2" s="40" t="s">
        <v>135</v>
      </c>
      <c r="T2" s="40" t="s">
        <v>135</v>
      </c>
      <c r="U2" s="40" t="s">
        <v>139</v>
      </c>
      <c r="V2" s="40"/>
    </row>
  </sheetData>
  <hyperlinks>
    <hyperlink ref="P2" r:id="rId1" xr:uid="{8D742245-A59A-3F4D-8E83-4646C3ADC1E5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V6"/>
  <sheetViews>
    <sheetView zoomScaleNormal="100" workbookViewId="0">
      <pane ySplit="1" topLeftCell="A2" activePane="bottomLeft" state="frozen"/>
      <selection pane="bottomLeft" activeCell="J8" sqref="J8"/>
    </sheetView>
  </sheetViews>
  <sheetFormatPr defaultColWidth="10.85546875" defaultRowHeight="20.25" customHeight="1" x14ac:dyDescent="0.55000000000000004"/>
  <cols>
    <col min="1" max="1" width="15.7109375" style="1" customWidth="1"/>
    <col min="2" max="2" width="20.85546875" style="1" customWidth="1"/>
    <col min="3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1019</v>
      </c>
      <c r="B2" s="1" t="s">
        <v>1020</v>
      </c>
      <c r="C2" s="1" t="s">
        <v>327</v>
      </c>
      <c r="D2" s="1" t="s">
        <v>376</v>
      </c>
      <c r="E2" s="1" t="s">
        <v>377</v>
      </c>
      <c r="F2" s="1" t="s">
        <v>349</v>
      </c>
      <c r="G2" s="1" t="s">
        <v>372</v>
      </c>
      <c r="H2" s="1" t="s">
        <v>333</v>
      </c>
      <c r="I2" s="1" t="s">
        <v>984</v>
      </c>
      <c r="J2" s="1" t="s">
        <v>985</v>
      </c>
      <c r="K2" s="1" t="s">
        <v>373</v>
      </c>
      <c r="L2" s="1" t="s">
        <v>353</v>
      </c>
      <c r="M2" s="1" t="s">
        <v>400</v>
      </c>
      <c r="N2" s="1" t="s">
        <v>648</v>
      </c>
      <c r="O2" s="1" t="s">
        <v>122</v>
      </c>
      <c r="P2" s="23" t="s">
        <v>1021</v>
      </c>
      <c r="R2" s="1" t="s">
        <v>270</v>
      </c>
      <c r="S2" s="40" t="s">
        <v>1022</v>
      </c>
      <c r="T2" s="40" t="s">
        <v>135</v>
      </c>
      <c r="U2" s="40" t="s">
        <v>139</v>
      </c>
      <c r="V2" s="40"/>
    </row>
    <row r="3" spans="1:22" ht="24" x14ac:dyDescent="0.55000000000000004">
      <c r="A3" s="1" t="s">
        <v>1023</v>
      </c>
      <c r="B3" s="1" t="s">
        <v>1024</v>
      </c>
      <c r="C3" s="1" t="s">
        <v>327</v>
      </c>
      <c r="D3" s="1" t="s">
        <v>376</v>
      </c>
      <c r="E3" s="1" t="s">
        <v>377</v>
      </c>
      <c r="F3" s="1" t="s">
        <v>750</v>
      </c>
      <c r="G3" s="1" t="s">
        <v>877</v>
      </c>
      <c r="H3" s="1" t="s">
        <v>446</v>
      </c>
      <c r="I3" s="1" t="s">
        <v>513</v>
      </c>
      <c r="J3" s="1" t="s">
        <v>1025</v>
      </c>
      <c r="K3" s="1" t="s">
        <v>373</v>
      </c>
      <c r="L3" s="1" t="s">
        <v>353</v>
      </c>
      <c r="M3" s="1" t="s">
        <v>367</v>
      </c>
      <c r="N3" s="1" t="s">
        <v>345</v>
      </c>
      <c r="O3" s="1" t="s">
        <v>122</v>
      </c>
      <c r="P3" s="1" t="s">
        <v>123</v>
      </c>
      <c r="Q3" s="1" t="s">
        <v>123</v>
      </c>
      <c r="R3" s="1" t="s">
        <v>1026</v>
      </c>
      <c r="S3" s="40" t="s">
        <v>131</v>
      </c>
      <c r="T3" s="40" t="s">
        <v>132</v>
      </c>
      <c r="U3" s="40" t="s">
        <v>122</v>
      </c>
      <c r="V3" s="40"/>
    </row>
    <row r="4" spans="1:22" ht="24" x14ac:dyDescent="0.55000000000000004">
      <c r="A4" s="1" t="s">
        <v>1027</v>
      </c>
      <c r="B4" s="1" t="s">
        <v>1028</v>
      </c>
      <c r="C4" s="1" t="s">
        <v>327</v>
      </c>
      <c r="D4" s="1" t="s">
        <v>376</v>
      </c>
      <c r="E4" s="1" t="s">
        <v>377</v>
      </c>
      <c r="F4" s="1" t="s">
        <v>750</v>
      </c>
      <c r="G4" s="1" t="s">
        <v>877</v>
      </c>
      <c r="H4" s="1" t="s">
        <v>446</v>
      </c>
      <c r="I4" s="1" t="s">
        <v>513</v>
      </c>
      <c r="J4" s="1" t="s">
        <v>123</v>
      </c>
      <c r="K4" s="1" t="s">
        <v>373</v>
      </c>
      <c r="L4" s="1" t="s">
        <v>353</v>
      </c>
      <c r="M4" s="1" t="s">
        <v>367</v>
      </c>
      <c r="N4" s="1" t="s">
        <v>345</v>
      </c>
      <c r="O4" s="1" t="s">
        <v>122</v>
      </c>
      <c r="P4" s="1" t="s">
        <v>123</v>
      </c>
      <c r="Q4" s="1" t="s">
        <v>123</v>
      </c>
      <c r="R4" s="1" t="s">
        <v>1029</v>
      </c>
      <c r="S4" s="40" t="s">
        <v>131</v>
      </c>
      <c r="T4" s="40" t="s">
        <v>132</v>
      </c>
      <c r="U4" s="40" t="s">
        <v>122</v>
      </c>
      <c r="V4" s="40"/>
    </row>
    <row r="5" spans="1:22" ht="24" x14ac:dyDescent="0.55000000000000004">
      <c r="A5" s="1" t="s">
        <v>1030</v>
      </c>
      <c r="B5" s="1" t="s">
        <v>1031</v>
      </c>
      <c r="C5" s="1" t="s">
        <v>327</v>
      </c>
      <c r="D5" s="1" t="s">
        <v>376</v>
      </c>
      <c r="E5" s="1" t="s">
        <v>377</v>
      </c>
      <c r="F5" s="1" t="s">
        <v>364</v>
      </c>
      <c r="G5" s="1" t="s">
        <v>877</v>
      </c>
      <c r="H5" s="1" t="s">
        <v>446</v>
      </c>
      <c r="I5" s="1" t="s">
        <v>513</v>
      </c>
      <c r="J5" s="1" t="s">
        <v>123</v>
      </c>
      <c r="K5" s="1" t="s">
        <v>373</v>
      </c>
      <c r="L5" s="1" t="s">
        <v>353</v>
      </c>
      <c r="M5" s="1" t="s">
        <v>367</v>
      </c>
      <c r="N5" s="1" t="s">
        <v>345</v>
      </c>
      <c r="O5" s="1" t="s">
        <v>122</v>
      </c>
      <c r="P5" s="1" t="s">
        <v>123</v>
      </c>
      <c r="Q5" s="1" t="s">
        <v>123</v>
      </c>
      <c r="R5" s="1" t="s">
        <v>1032</v>
      </c>
      <c r="S5" s="40" t="s">
        <v>131</v>
      </c>
      <c r="T5" s="40" t="s">
        <v>132</v>
      </c>
      <c r="U5" s="40" t="s">
        <v>122</v>
      </c>
      <c r="V5" s="40"/>
    </row>
    <row r="6" spans="1:22" ht="24" x14ac:dyDescent="0.55000000000000004">
      <c r="A6" s="1" t="s">
        <v>1033</v>
      </c>
      <c r="B6" s="1" t="s">
        <v>1034</v>
      </c>
      <c r="C6" s="1" t="s">
        <v>327</v>
      </c>
      <c r="D6" s="1" t="s">
        <v>384</v>
      </c>
      <c r="E6" s="1" t="s">
        <v>391</v>
      </c>
      <c r="F6" s="1" t="s">
        <v>892</v>
      </c>
      <c r="G6" s="1" t="s">
        <v>1035</v>
      </c>
      <c r="H6" s="1" t="s">
        <v>446</v>
      </c>
      <c r="I6" s="1" t="s">
        <v>513</v>
      </c>
      <c r="J6" s="1" t="s">
        <v>123</v>
      </c>
      <c r="K6" s="1" t="s">
        <v>373</v>
      </c>
      <c r="L6" s="1" t="s">
        <v>353</v>
      </c>
      <c r="M6" s="1" t="s">
        <v>367</v>
      </c>
      <c r="N6" s="1" t="s">
        <v>345</v>
      </c>
      <c r="O6" s="1" t="s">
        <v>122</v>
      </c>
      <c r="P6" s="1" t="s">
        <v>123</v>
      </c>
      <c r="Q6" s="1" t="s">
        <v>123</v>
      </c>
      <c r="R6" s="1" t="s">
        <v>1036</v>
      </c>
      <c r="S6" s="40" t="s">
        <v>131</v>
      </c>
      <c r="T6" s="40" t="s">
        <v>132</v>
      </c>
      <c r="U6" s="40" t="s">
        <v>122</v>
      </c>
      <c r="V6" s="40"/>
    </row>
  </sheetData>
  <phoneticPr fontId="21" type="noConversion"/>
  <hyperlinks>
    <hyperlink ref="P2" r:id="rId1" xr:uid="{7F9A1F7B-23B2-274E-BD35-4EF439345FE1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V2"/>
  <sheetViews>
    <sheetView topLeftCell="F1" zoomScale="142" zoomScaleNormal="142" workbookViewId="0">
      <pane ySplit="1" topLeftCell="A2" activePane="bottomLeft" state="frozen"/>
      <selection pane="bottomLeft" activeCell="U2" sqref="U2"/>
    </sheetView>
  </sheetViews>
  <sheetFormatPr defaultColWidth="10.85546875" defaultRowHeight="20.25" customHeight="1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1037</v>
      </c>
      <c r="B2" s="1" t="s">
        <v>1038</v>
      </c>
      <c r="C2" s="11" t="s">
        <v>327</v>
      </c>
      <c r="D2" s="1" t="s">
        <v>376</v>
      </c>
      <c r="E2" s="1" t="s">
        <v>377</v>
      </c>
      <c r="F2" s="1" t="s">
        <v>349</v>
      </c>
      <c r="G2" s="1" t="s">
        <v>341</v>
      </c>
      <c r="H2" s="1" t="s">
        <v>333</v>
      </c>
      <c r="I2" s="1" t="s">
        <v>647</v>
      </c>
      <c r="J2" s="1" t="s">
        <v>123</v>
      </c>
      <c r="K2" s="1" t="s">
        <v>647</v>
      </c>
      <c r="L2" s="1" t="s">
        <v>353</v>
      </c>
      <c r="M2" s="1" t="s">
        <v>123</v>
      </c>
      <c r="N2" s="1" t="s">
        <v>390</v>
      </c>
      <c r="O2" s="1" t="s">
        <v>122</v>
      </c>
      <c r="P2" s="23" t="s">
        <v>275</v>
      </c>
      <c r="Q2" s="1" t="s">
        <v>123</v>
      </c>
      <c r="R2" s="1" t="s">
        <v>1039</v>
      </c>
      <c r="S2" s="40" t="s">
        <v>274</v>
      </c>
      <c r="T2" s="40" t="s">
        <v>135</v>
      </c>
      <c r="U2" s="40" t="s">
        <v>139</v>
      </c>
      <c r="V2" s="40"/>
    </row>
  </sheetData>
  <hyperlinks>
    <hyperlink ref="P2" r:id="rId1" xr:uid="{00000000-0004-0000-18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V15"/>
  <sheetViews>
    <sheetView zoomScale="144" zoomScaleNormal="144" workbookViewId="0">
      <pane ySplit="1" topLeftCell="A2" activePane="bottomLeft" state="frozen"/>
      <selection pane="bottomLeft" activeCell="Q10" sqref="Q10"/>
    </sheetView>
  </sheetViews>
  <sheetFormatPr defaultColWidth="10.85546875" defaultRowHeight="20.25" customHeight="1" x14ac:dyDescent="0.55000000000000004"/>
  <cols>
    <col min="1" max="1" width="10.85546875" style="1" customWidth="1"/>
    <col min="2" max="2" width="77.42578125" style="1" customWidth="1"/>
    <col min="3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1040</v>
      </c>
      <c r="B2" s="1" t="s">
        <v>1041</v>
      </c>
      <c r="C2" s="11" t="s">
        <v>327</v>
      </c>
      <c r="D2" s="1" t="s">
        <v>376</v>
      </c>
      <c r="E2" s="1" t="s">
        <v>377</v>
      </c>
      <c r="F2" s="1" t="s">
        <v>349</v>
      </c>
      <c r="G2" s="1" t="s">
        <v>341</v>
      </c>
      <c r="H2" s="1" t="s">
        <v>333</v>
      </c>
      <c r="I2" s="1" t="s">
        <v>761</v>
      </c>
      <c r="J2" s="1" t="s">
        <v>955</v>
      </c>
      <c r="K2" s="1" t="s">
        <v>373</v>
      </c>
      <c r="L2" s="1" t="s">
        <v>353</v>
      </c>
      <c r="M2" s="1" t="s">
        <v>367</v>
      </c>
      <c r="N2" s="1" t="s">
        <v>345</v>
      </c>
      <c r="O2" s="1" t="s">
        <v>139</v>
      </c>
      <c r="P2" s="23" t="s">
        <v>1042</v>
      </c>
      <c r="Q2" s="1" t="s">
        <v>123</v>
      </c>
      <c r="R2" s="1" t="s">
        <v>1043</v>
      </c>
      <c r="S2" s="40" t="s">
        <v>1044</v>
      </c>
      <c r="T2" s="40" t="s">
        <v>135</v>
      </c>
      <c r="U2" s="40" t="s">
        <v>139</v>
      </c>
      <c r="V2" s="40"/>
    </row>
    <row r="3" spans="1:22" ht="24" x14ac:dyDescent="0.55000000000000004">
      <c r="A3" s="44" t="s">
        <v>1045</v>
      </c>
      <c r="B3" s="44" t="s">
        <v>1046</v>
      </c>
      <c r="C3" s="44" t="s">
        <v>411</v>
      </c>
      <c r="D3" s="44" t="s">
        <v>376</v>
      </c>
      <c r="E3" s="44" t="s">
        <v>377</v>
      </c>
      <c r="F3" s="44" t="s">
        <v>349</v>
      </c>
      <c r="G3" s="44" t="s">
        <v>1047</v>
      </c>
      <c r="H3" s="44" t="s">
        <v>333</v>
      </c>
      <c r="I3" s="44" t="s">
        <v>1048</v>
      </c>
      <c r="J3" s="44" t="s">
        <v>1049</v>
      </c>
      <c r="K3" s="44" t="s">
        <v>373</v>
      </c>
      <c r="L3" s="44" t="s">
        <v>382</v>
      </c>
      <c r="M3" s="44" t="s">
        <v>1050</v>
      </c>
      <c r="N3" s="44" t="s">
        <v>1051</v>
      </c>
      <c r="O3" s="44" t="s">
        <v>139</v>
      </c>
      <c r="P3" s="23" t="s">
        <v>1042</v>
      </c>
      <c r="Q3" s="44" t="s">
        <v>123</v>
      </c>
      <c r="R3" s="44" t="s">
        <v>1052</v>
      </c>
      <c r="S3" s="40" t="s">
        <v>1044</v>
      </c>
      <c r="T3" s="40" t="s">
        <v>135</v>
      </c>
      <c r="U3" s="40" t="s">
        <v>139</v>
      </c>
      <c r="V3" s="40" t="s">
        <v>120</v>
      </c>
    </row>
    <row r="4" spans="1:22" ht="24" x14ac:dyDescent="0.55000000000000004">
      <c r="A4" s="44" t="s">
        <v>1053</v>
      </c>
      <c r="B4" s="44" t="s">
        <v>1054</v>
      </c>
      <c r="C4" s="44" t="s">
        <v>411</v>
      </c>
      <c r="D4" s="44" t="s">
        <v>384</v>
      </c>
      <c r="E4" s="44" t="s">
        <v>391</v>
      </c>
      <c r="F4" s="44" t="s">
        <v>745</v>
      </c>
      <c r="G4" s="44" t="s">
        <v>332</v>
      </c>
      <c r="H4" s="44" t="s">
        <v>333</v>
      </c>
      <c r="I4" s="44" t="s">
        <v>647</v>
      </c>
      <c r="J4" s="44" t="s">
        <v>1055</v>
      </c>
      <c r="K4" s="44" t="s">
        <v>373</v>
      </c>
      <c r="L4" s="44" t="s">
        <v>382</v>
      </c>
      <c r="M4" s="44" t="s">
        <v>1056</v>
      </c>
      <c r="N4" s="44" t="s">
        <v>1051</v>
      </c>
      <c r="O4" s="44" t="s">
        <v>139</v>
      </c>
      <c r="P4" s="23" t="s">
        <v>1042</v>
      </c>
      <c r="Q4" s="44" t="s">
        <v>123</v>
      </c>
      <c r="R4" s="44" t="s">
        <v>1057</v>
      </c>
      <c r="S4" s="40" t="s">
        <v>1044</v>
      </c>
      <c r="T4" s="40" t="s">
        <v>135</v>
      </c>
      <c r="U4" s="40" t="s">
        <v>139</v>
      </c>
      <c r="V4" s="40" t="s">
        <v>120</v>
      </c>
    </row>
    <row r="5" spans="1:22" ht="24" x14ac:dyDescent="0.55000000000000004">
      <c r="A5" s="44" t="s">
        <v>1058</v>
      </c>
      <c r="B5" s="44" t="s">
        <v>1059</v>
      </c>
      <c r="C5" s="44" t="s">
        <v>411</v>
      </c>
      <c r="D5" s="44" t="s">
        <v>376</v>
      </c>
      <c r="E5" s="44" t="s">
        <v>377</v>
      </c>
      <c r="F5" s="44" t="s">
        <v>349</v>
      </c>
      <c r="G5" s="44" t="s">
        <v>380</v>
      </c>
      <c r="H5" s="44" t="s">
        <v>333</v>
      </c>
      <c r="I5" s="44" t="s">
        <v>647</v>
      </c>
      <c r="J5" s="44" t="s">
        <v>1060</v>
      </c>
      <c r="K5" s="44" t="s">
        <v>373</v>
      </c>
      <c r="L5" s="44" t="s">
        <v>367</v>
      </c>
      <c r="M5" s="44" t="s">
        <v>1061</v>
      </c>
      <c r="N5" s="44" t="s">
        <v>1051</v>
      </c>
      <c r="O5" s="44" t="s">
        <v>139</v>
      </c>
      <c r="P5" s="23" t="s">
        <v>1042</v>
      </c>
      <c r="Q5" s="44" t="s">
        <v>1062</v>
      </c>
      <c r="R5" s="44" t="s">
        <v>123</v>
      </c>
      <c r="S5" s="40" t="s">
        <v>1044</v>
      </c>
      <c r="T5" s="40" t="s">
        <v>135</v>
      </c>
      <c r="U5" s="40" t="s">
        <v>139</v>
      </c>
      <c r="V5" s="40" t="s">
        <v>120</v>
      </c>
    </row>
    <row r="6" spans="1:22" ht="24" x14ac:dyDescent="0.55000000000000004">
      <c r="A6" s="44" t="s">
        <v>1063</v>
      </c>
      <c r="B6" s="44" t="s">
        <v>1064</v>
      </c>
      <c r="C6" s="44" t="s">
        <v>411</v>
      </c>
      <c r="D6" s="44" t="s">
        <v>376</v>
      </c>
      <c r="E6" s="44" t="s">
        <v>377</v>
      </c>
      <c r="F6" s="44" t="s">
        <v>349</v>
      </c>
      <c r="G6" s="44" t="s">
        <v>380</v>
      </c>
      <c r="H6" s="44" t="s">
        <v>333</v>
      </c>
      <c r="I6" s="44" t="s">
        <v>647</v>
      </c>
      <c r="J6" s="44" t="s">
        <v>946</v>
      </c>
      <c r="K6" s="44" t="s">
        <v>359</v>
      </c>
      <c r="L6" s="44" t="s">
        <v>367</v>
      </c>
      <c r="M6" s="44" t="s">
        <v>123</v>
      </c>
      <c r="N6" s="44" t="s">
        <v>1051</v>
      </c>
      <c r="O6" s="44" t="s">
        <v>139</v>
      </c>
      <c r="P6" s="23" t="s">
        <v>1042</v>
      </c>
      <c r="Q6" s="44" t="s">
        <v>123</v>
      </c>
      <c r="R6" s="44" t="s">
        <v>1065</v>
      </c>
      <c r="S6" s="40" t="s">
        <v>1044</v>
      </c>
      <c r="T6" s="40" t="s">
        <v>135</v>
      </c>
      <c r="U6" s="40" t="s">
        <v>139</v>
      </c>
      <c r="V6" s="40" t="s">
        <v>120</v>
      </c>
    </row>
    <row r="7" spans="1:22" ht="24" x14ac:dyDescent="0.55000000000000004">
      <c r="A7" s="44" t="s">
        <v>1066</v>
      </c>
      <c r="B7" s="44" t="s">
        <v>1067</v>
      </c>
      <c r="C7" s="44" t="s">
        <v>411</v>
      </c>
      <c r="D7" s="44" t="s">
        <v>384</v>
      </c>
      <c r="E7" s="44" t="s">
        <v>391</v>
      </c>
      <c r="F7" s="44" t="s">
        <v>349</v>
      </c>
      <c r="G7" s="44" t="s">
        <v>1047</v>
      </c>
      <c r="H7" s="44" t="s">
        <v>333</v>
      </c>
      <c r="I7" s="44" t="s">
        <v>647</v>
      </c>
      <c r="J7" s="44" t="s">
        <v>1068</v>
      </c>
      <c r="K7" s="44" t="s">
        <v>373</v>
      </c>
      <c r="L7" s="44" t="s">
        <v>367</v>
      </c>
      <c r="M7" s="44" t="s">
        <v>123</v>
      </c>
      <c r="N7" s="44" t="s">
        <v>1051</v>
      </c>
      <c r="O7" s="44" t="s">
        <v>139</v>
      </c>
      <c r="P7" s="23" t="s">
        <v>1042</v>
      </c>
      <c r="Q7" s="44" t="s">
        <v>1069</v>
      </c>
      <c r="R7" s="44" t="s">
        <v>123</v>
      </c>
      <c r="S7" s="40" t="s">
        <v>1044</v>
      </c>
      <c r="T7" s="40" t="s">
        <v>135</v>
      </c>
      <c r="U7" s="40" t="s">
        <v>139</v>
      </c>
      <c r="V7" s="40" t="s">
        <v>120</v>
      </c>
    </row>
    <row r="8" spans="1:22" ht="24" x14ac:dyDescent="0.55000000000000004">
      <c r="A8" s="44" t="s">
        <v>1070</v>
      </c>
      <c r="B8" s="44" t="s">
        <v>1071</v>
      </c>
      <c r="C8" s="44" t="s">
        <v>422</v>
      </c>
      <c r="D8" s="44" t="s">
        <v>422</v>
      </c>
      <c r="E8" s="44" t="s">
        <v>423</v>
      </c>
      <c r="F8" s="44" t="s">
        <v>349</v>
      </c>
      <c r="G8" s="44" t="s">
        <v>1072</v>
      </c>
      <c r="H8" s="44" t="s">
        <v>333</v>
      </c>
      <c r="I8" s="44" t="s">
        <v>647</v>
      </c>
      <c r="J8" s="44" t="s">
        <v>123</v>
      </c>
      <c r="K8" s="44" t="s">
        <v>373</v>
      </c>
      <c r="L8" s="44" t="s">
        <v>353</v>
      </c>
      <c r="M8" s="44" t="s">
        <v>123</v>
      </c>
      <c r="N8" s="44" t="s">
        <v>1073</v>
      </c>
      <c r="O8" s="44" t="s">
        <v>122</v>
      </c>
      <c r="P8" s="44" t="s">
        <v>123</v>
      </c>
      <c r="Q8" s="44" t="s">
        <v>1074</v>
      </c>
      <c r="R8" s="44" t="s">
        <v>1075</v>
      </c>
      <c r="S8" s="40" t="s">
        <v>120</v>
      </c>
      <c r="T8" s="40" t="s">
        <v>121</v>
      </c>
      <c r="U8" s="40" t="s">
        <v>122</v>
      </c>
      <c r="V8" s="40" t="s">
        <v>120</v>
      </c>
    </row>
    <row r="9" spans="1:22" ht="24" x14ac:dyDescent="0.55000000000000004">
      <c r="A9" s="44" t="s">
        <v>1076</v>
      </c>
      <c r="B9" s="44" t="s">
        <v>1077</v>
      </c>
      <c r="C9" s="44" t="s">
        <v>422</v>
      </c>
      <c r="D9" s="44" t="s">
        <v>376</v>
      </c>
      <c r="E9" s="44" t="s">
        <v>377</v>
      </c>
      <c r="F9" s="44" t="s">
        <v>349</v>
      </c>
      <c r="G9" s="44" t="s">
        <v>380</v>
      </c>
      <c r="H9" s="44" t="s">
        <v>333</v>
      </c>
      <c r="I9" s="44" t="s">
        <v>647</v>
      </c>
      <c r="J9" s="44" t="s">
        <v>1060</v>
      </c>
      <c r="K9" s="44" t="s">
        <v>373</v>
      </c>
      <c r="L9" s="44" t="s">
        <v>382</v>
      </c>
      <c r="M9" s="44" t="s">
        <v>1056</v>
      </c>
      <c r="N9" s="44" t="s">
        <v>354</v>
      </c>
      <c r="O9" s="44" t="s">
        <v>122</v>
      </c>
      <c r="P9" s="44" t="s">
        <v>123</v>
      </c>
      <c r="Q9" s="44" t="s">
        <v>123</v>
      </c>
      <c r="R9" s="44" t="s">
        <v>1078</v>
      </c>
      <c r="S9" s="40" t="s">
        <v>120</v>
      </c>
      <c r="T9" s="40" t="s">
        <v>121</v>
      </c>
      <c r="U9" s="40" t="s">
        <v>122</v>
      </c>
      <c r="V9" s="40" t="s">
        <v>120</v>
      </c>
    </row>
    <row r="10" spans="1:22" ht="24" x14ac:dyDescent="0.55000000000000004">
      <c r="A10" s="1" t="s">
        <v>1079</v>
      </c>
      <c r="B10" s="1" t="s">
        <v>1080</v>
      </c>
      <c r="C10" s="1" t="s">
        <v>327</v>
      </c>
      <c r="D10" s="1" t="s">
        <v>376</v>
      </c>
      <c r="E10" s="1" t="s">
        <v>377</v>
      </c>
      <c r="F10" s="1" t="s">
        <v>892</v>
      </c>
      <c r="G10" s="1" t="s">
        <v>877</v>
      </c>
      <c r="H10" s="1" t="s">
        <v>446</v>
      </c>
      <c r="I10" s="1" t="s">
        <v>513</v>
      </c>
      <c r="J10" s="1" t="s">
        <v>946</v>
      </c>
      <c r="K10" s="1" t="s">
        <v>373</v>
      </c>
      <c r="L10" s="1" t="s">
        <v>353</v>
      </c>
      <c r="M10" s="1" t="s">
        <v>367</v>
      </c>
      <c r="N10" s="1" t="s">
        <v>345</v>
      </c>
      <c r="O10" s="1" t="s">
        <v>122</v>
      </c>
      <c r="P10" s="1" t="s">
        <v>123</v>
      </c>
      <c r="Q10" s="1" t="s">
        <v>123</v>
      </c>
      <c r="R10" s="1" t="s">
        <v>1081</v>
      </c>
      <c r="S10" s="40" t="s">
        <v>131</v>
      </c>
      <c r="T10" s="40" t="s">
        <v>132</v>
      </c>
      <c r="U10" s="40" t="s">
        <v>122</v>
      </c>
      <c r="V10" s="40"/>
    </row>
    <row r="11" spans="1:22" ht="24" x14ac:dyDescent="0.55000000000000004">
      <c r="A11" s="1" t="s">
        <v>1082</v>
      </c>
      <c r="B11" s="1" t="s">
        <v>1083</v>
      </c>
      <c r="C11" s="1" t="s">
        <v>327</v>
      </c>
      <c r="D11" s="1" t="s">
        <v>384</v>
      </c>
      <c r="E11" s="1" t="s">
        <v>391</v>
      </c>
      <c r="F11" s="1" t="s">
        <v>892</v>
      </c>
      <c r="G11" s="1" t="s">
        <v>877</v>
      </c>
      <c r="H11" s="1" t="s">
        <v>446</v>
      </c>
      <c r="I11" s="1" t="s">
        <v>513</v>
      </c>
      <c r="J11" s="1" t="s">
        <v>946</v>
      </c>
      <c r="K11" s="1" t="s">
        <v>373</v>
      </c>
      <c r="L11" s="1" t="s">
        <v>353</v>
      </c>
      <c r="M11" s="1" t="s">
        <v>367</v>
      </c>
      <c r="N11" s="1" t="s">
        <v>345</v>
      </c>
      <c r="O11" s="1" t="s">
        <v>122</v>
      </c>
      <c r="P11" s="1" t="s">
        <v>123</v>
      </c>
      <c r="Q11" s="1" t="s">
        <v>123</v>
      </c>
      <c r="R11" s="1" t="s">
        <v>1084</v>
      </c>
      <c r="S11" s="40" t="s">
        <v>131</v>
      </c>
      <c r="T11" s="40" t="s">
        <v>132</v>
      </c>
      <c r="U11" s="40" t="s">
        <v>122</v>
      </c>
      <c r="V11" s="40"/>
    </row>
    <row r="12" spans="1:22" ht="24" x14ac:dyDescent="0.55000000000000004">
      <c r="A12" s="1" t="s">
        <v>1085</v>
      </c>
      <c r="B12" s="1" t="s">
        <v>1086</v>
      </c>
      <c r="C12" s="1" t="s">
        <v>327</v>
      </c>
      <c r="D12" s="1" t="s">
        <v>384</v>
      </c>
      <c r="E12" s="1" t="s">
        <v>391</v>
      </c>
      <c r="F12" s="1" t="s">
        <v>892</v>
      </c>
      <c r="G12" s="1" t="s">
        <v>877</v>
      </c>
      <c r="H12" s="1" t="s">
        <v>446</v>
      </c>
      <c r="I12" s="1" t="s">
        <v>513</v>
      </c>
      <c r="J12" s="1" t="s">
        <v>946</v>
      </c>
      <c r="K12" s="1" t="s">
        <v>373</v>
      </c>
      <c r="L12" s="1" t="s">
        <v>353</v>
      </c>
      <c r="M12" s="1" t="s">
        <v>367</v>
      </c>
      <c r="N12" s="1" t="s">
        <v>345</v>
      </c>
      <c r="O12" s="1" t="s">
        <v>122</v>
      </c>
      <c r="P12" s="1" t="s">
        <v>123</v>
      </c>
      <c r="Q12" s="1" t="s">
        <v>123</v>
      </c>
      <c r="R12" s="1" t="s">
        <v>1087</v>
      </c>
      <c r="S12" s="40" t="s">
        <v>131</v>
      </c>
      <c r="T12" s="40" t="s">
        <v>132</v>
      </c>
      <c r="U12" s="40" t="s">
        <v>122</v>
      </c>
      <c r="V12" s="40"/>
    </row>
    <row r="13" spans="1:22" ht="24" x14ac:dyDescent="0.55000000000000004">
      <c r="A13" s="1" t="s">
        <v>1088</v>
      </c>
      <c r="B13" s="1" t="s">
        <v>1089</v>
      </c>
      <c r="C13" s="1" t="s">
        <v>327</v>
      </c>
      <c r="D13" s="1" t="s">
        <v>384</v>
      </c>
      <c r="E13" s="1" t="s">
        <v>391</v>
      </c>
      <c r="F13" s="1" t="s">
        <v>892</v>
      </c>
      <c r="G13" s="1" t="s">
        <v>877</v>
      </c>
      <c r="H13" s="1" t="s">
        <v>446</v>
      </c>
      <c r="I13" s="1" t="s">
        <v>513</v>
      </c>
      <c r="J13" s="1" t="s">
        <v>123</v>
      </c>
      <c r="K13" s="1" t="s">
        <v>373</v>
      </c>
      <c r="L13" s="1" t="s">
        <v>353</v>
      </c>
      <c r="M13" s="1" t="s">
        <v>367</v>
      </c>
      <c r="N13" s="1" t="s">
        <v>345</v>
      </c>
      <c r="O13" s="1" t="s">
        <v>122</v>
      </c>
      <c r="P13" s="1" t="s">
        <v>123</v>
      </c>
      <c r="Q13" s="1" t="s">
        <v>123</v>
      </c>
      <c r="R13" s="1" t="s">
        <v>1090</v>
      </c>
      <c r="S13" s="40" t="s">
        <v>131</v>
      </c>
      <c r="T13" s="40" t="s">
        <v>132</v>
      </c>
      <c r="U13" s="40" t="s">
        <v>122</v>
      </c>
      <c r="V13" s="40"/>
    </row>
    <row r="14" spans="1:22" ht="24" x14ac:dyDescent="0.55000000000000004">
      <c r="A14" s="1" t="s">
        <v>1091</v>
      </c>
      <c r="B14" s="1" t="s">
        <v>1092</v>
      </c>
      <c r="C14" s="1" t="s">
        <v>327</v>
      </c>
      <c r="D14" s="1" t="s">
        <v>376</v>
      </c>
      <c r="E14" s="1" t="s">
        <v>377</v>
      </c>
      <c r="F14" s="1" t="s">
        <v>371</v>
      </c>
      <c r="G14" s="1" t="s">
        <v>797</v>
      </c>
      <c r="H14" s="1" t="s">
        <v>446</v>
      </c>
      <c r="I14" s="1" t="s">
        <v>513</v>
      </c>
      <c r="J14" s="1" t="s">
        <v>955</v>
      </c>
      <c r="K14" s="1" t="s">
        <v>373</v>
      </c>
      <c r="L14" s="1" t="s">
        <v>353</v>
      </c>
      <c r="M14" s="1" t="s">
        <v>367</v>
      </c>
      <c r="N14" s="1" t="s">
        <v>345</v>
      </c>
      <c r="O14" s="1" t="s">
        <v>122</v>
      </c>
      <c r="P14" s="1" t="s">
        <v>123</v>
      </c>
      <c r="Q14" s="1" t="s">
        <v>123</v>
      </c>
      <c r="R14" s="1" t="s">
        <v>1093</v>
      </c>
      <c r="S14" s="40" t="s">
        <v>131</v>
      </c>
      <c r="T14" s="40" t="s">
        <v>132</v>
      </c>
      <c r="U14" s="40" t="s">
        <v>122</v>
      </c>
      <c r="V14" s="40"/>
    </row>
    <row r="15" spans="1:22" ht="24" x14ac:dyDescent="0.55000000000000004">
      <c r="A15" s="1" t="s">
        <v>1094</v>
      </c>
      <c r="B15" s="1" t="s">
        <v>1095</v>
      </c>
      <c r="C15" s="1" t="s">
        <v>327</v>
      </c>
      <c r="D15" s="1" t="s">
        <v>384</v>
      </c>
      <c r="E15" s="1" t="s">
        <v>397</v>
      </c>
      <c r="F15" s="1" t="s">
        <v>892</v>
      </c>
      <c r="G15" s="1" t="s">
        <v>995</v>
      </c>
      <c r="H15" s="1" t="s">
        <v>446</v>
      </c>
      <c r="I15" s="1" t="s">
        <v>513</v>
      </c>
      <c r="J15" s="1" t="s">
        <v>123</v>
      </c>
      <c r="K15" s="1" t="s">
        <v>373</v>
      </c>
      <c r="L15" s="1" t="s">
        <v>353</v>
      </c>
      <c r="M15" s="1" t="s">
        <v>367</v>
      </c>
      <c r="N15" s="1" t="s">
        <v>345</v>
      </c>
      <c r="O15" s="1" t="s">
        <v>122</v>
      </c>
      <c r="P15" s="1" t="s">
        <v>123</v>
      </c>
      <c r="Q15" s="1" t="s">
        <v>123</v>
      </c>
      <c r="R15" s="1" t="s">
        <v>1096</v>
      </c>
      <c r="S15" s="40" t="s">
        <v>131</v>
      </c>
      <c r="T15" s="40" t="s">
        <v>132</v>
      </c>
      <c r="U15" s="40" t="s">
        <v>122</v>
      </c>
      <c r="V15" s="40"/>
    </row>
  </sheetData>
  <phoneticPr fontId="21" type="noConversion"/>
  <hyperlinks>
    <hyperlink ref="P2" r:id="rId1" xr:uid="{0806C6F2-7EB7-CF4C-8878-8C896DEA10CD}"/>
    <hyperlink ref="P3:P7" r:id="rId2" display="https://nsodw.nso.go.th/dwportal/Home.aspx" xr:uid="{5E172879-CB31-3448-BF72-2FF9D2D3D9B4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V2"/>
  <sheetViews>
    <sheetView zoomScale="150" zoomScaleNormal="150" workbookViewId="0">
      <pane ySplit="1" topLeftCell="A2" activePane="bottomLeft" state="frozen"/>
      <selection pane="bottomLeft" activeCell="G7" sqref="G7"/>
    </sheetView>
  </sheetViews>
  <sheetFormatPr defaultColWidth="10.85546875" defaultRowHeight="20.25" customHeight="1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428</v>
      </c>
      <c r="H1" s="24" t="s">
        <v>429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1" t="s">
        <v>1097</v>
      </c>
      <c r="B2" s="1" t="s">
        <v>1098</v>
      </c>
      <c r="C2" s="11" t="s">
        <v>327</v>
      </c>
      <c r="D2" s="1" t="s">
        <v>376</v>
      </c>
      <c r="E2" s="1" t="s">
        <v>377</v>
      </c>
      <c r="F2" s="1" t="s">
        <v>349</v>
      </c>
      <c r="G2" s="1" t="s">
        <v>341</v>
      </c>
      <c r="H2" s="1" t="s">
        <v>333</v>
      </c>
      <c r="I2" s="1" t="s">
        <v>647</v>
      </c>
      <c r="J2" s="1" t="s">
        <v>985</v>
      </c>
      <c r="K2" s="1" t="s">
        <v>647</v>
      </c>
      <c r="L2" s="1" t="s">
        <v>353</v>
      </c>
      <c r="M2" s="1" t="s">
        <v>400</v>
      </c>
      <c r="N2" s="1" t="s">
        <v>345</v>
      </c>
      <c r="O2" s="1" t="s">
        <v>122</v>
      </c>
      <c r="P2" s="23" t="s">
        <v>193</v>
      </c>
      <c r="Q2" s="1" t="s">
        <v>123</v>
      </c>
      <c r="R2" s="1" t="s">
        <v>1099</v>
      </c>
      <c r="S2" s="40" t="s">
        <v>1100</v>
      </c>
      <c r="T2" s="40" t="s">
        <v>135</v>
      </c>
      <c r="U2" s="40" t="s">
        <v>139</v>
      </c>
      <c r="V2" s="40"/>
    </row>
  </sheetData>
  <hyperlinks>
    <hyperlink ref="P2" r:id="rId1" xr:uid="{00000000-0004-0000-1A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V10"/>
  <sheetViews>
    <sheetView zoomScale="125" workbookViewId="0">
      <pane ySplit="1" topLeftCell="A2" activePane="bottomLeft" state="frozen"/>
      <selection pane="bottomLeft" activeCell="U6" sqref="U6"/>
    </sheetView>
  </sheetViews>
  <sheetFormatPr defaultColWidth="10.85546875" defaultRowHeight="15" x14ac:dyDescent="0.25"/>
  <cols>
    <col min="2" max="2" width="27.42578125" customWidth="1"/>
  </cols>
  <sheetData>
    <row r="1" spans="1:22" ht="124.5" customHeight="1" x14ac:dyDescent="0.55000000000000004">
      <c r="A1" s="29" t="s">
        <v>1</v>
      </c>
      <c r="B1" s="29" t="s">
        <v>2</v>
      </c>
      <c r="C1" s="29" t="s">
        <v>425</v>
      </c>
      <c r="D1" s="29" t="s">
        <v>426</v>
      </c>
      <c r="E1" s="29" t="s">
        <v>427</v>
      </c>
      <c r="F1" s="29" t="s">
        <v>4</v>
      </c>
      <c r="G1" s="29" t="s">
        <v>428</v>
      </c>
      <c r="H1" s="29" t="s">
        <v>429</v>
      </c>
      <c r="I1" s="29" t="s">
        <v>5</v>
      </c>
      <c r="J1" s="29" t="s">
        <v>430</v>
      </c>
      <c r="K1" s="29" t="s">
        <v>6</v>
      </c>
      <c r="L1" s="29" t="s">
        <v>431</v>
      </c>
      <c r="M1" s="29" t="s">
        <v>432</v>
      </c>
      <c r="N1" s="29" t="s">
        <v>433</v>
      </c>
      <c r="O1" s="29" t="s">
        <v>115</v>
      </c>
      <c r="P1" s="29" t="s">
        <v>9</v>
      </c>
      <c r="Q1" s="29" t="s">
        <v>434</v>
      </c>
      <c r="R1" s="29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44" t="s">
        <v>1101</v>
      </c>
      <c r="B2" s="44" t="s">
        <v>1102</v>
      </c>
      <c r="C2" s="44" t="s">
        <v>411</v>
      </c>
      <c r="D2" s="44" t="s">
        <v>328</v>
      </c>
      <c r="E2" s="44" t="s">
        <v>338</v>
      </c>
      <c r="F2" s="44" t="s">
        <v>364</v>
      </c>
      <c r="G2" s="44" t="s">
        <v>341</v>
      </c>
      <c r="H2" s="44" t="s">
        <v>333</v>
      </c>
      <c r="I2" s="44" t="s">
        <v>123</v>
      </c>
      <c r="J2" s="44" t="s">
        <v>123</v>
      </c>
      <c r="K2" s="44" t="s">
        <v>381</v>
      </c>
      <c r="L2" s="44" t="s">
        <v>395</v>
      </c>
      <c r="M2" s="44" t="s">
        <v>123</v>
      </c>
      <c r="N2" s="44" t="s">
        <v>1103</v>
      </c>
      <c r="O2" s="44" t="s">
        <v>122</v>
      </c>
      <c r="P2" s="44" t="s">
        <v>123</v>
      </c>
      <c r="Q2" s="44" t="s">
        <v>1104</v>
      </c>
      <c r="R2" s="44" t="s">
        <v>1105</v>
      </c>
      <c r="S2" s="40" t="s">
        <v>120</v>
      </c>
      <c r="T2" s="40" t="s">
        <v>121</v>
      </c>
      <c r="U2" s="40" t="s">
        <v>122</v>
      </c>
      <c r="V2" s="40"/>
    </row>
    <row r="3" spans="1:22" ht="24" x14ac:dyDescent="0.55000000000000004">
      <c r="A3" s="44" t="s">
        <v>1106</v>
      </c>
      <c r="B3" s="44" t="s">
        <v>1107</v>
      </c>
      <c r="C3" s="44" t="s">
        <v>422</v>
      </c>
      <c r="D3" s="44" t="s">
        <v>376</v>
      </c>
      <c r="E3" s="44" t="s">
        <v>377</v>
      </c>
      <c r="F3" s="44" t="s">
        <v>349</v>
      </c>
      <c r="G3" s="44" t="s">
        <v>341</v>
      </c>
      <c r="H3" s="44" t="s">
        <v>333</v>
      </c>
      <c r="I3" s="44" t="s">
        <v>1108</v>
      </c>
      <c r="J3" s="44" t="s">
        <v>123</v>
      </c>
      <c r="K3" s="44" t="s">
        <v>381</v>
      </c>
      <c r="L3" s="44" t="s">
        <v>360</v>
      </c>
      <c r="M3" s="44" t="s">
        <v>1109</v>
      </c>
      <c r="N3" s="44" t="s">
        <v>1103</v>
      </c>
      <c r="O3" s="44" t="s">
        <v>122</v>
      </c>
      <c r="P3" s="44" t="s">
        <v>123</v>
      </c>
      <c r="Q3" s="44" t="s">
        <v>1110</v>
      </c>
      <c r="R3" s="44" t="s">
        <v>1111</v>
      </c>
      <c r="S3" s="40" t="s">
        <v>120</v>
      </c>
      <c r="T3" s="40" t="s">
        <v>121</v>
      </c>
      <c r="U3" s="40" t="s">
        <v>122</v>
      </c>
      <c r="V3" s="40"/>
    </row>
    <row r="4" spans="1:22" ht="24" x14ac:dyDescent="0.55000000000000004">
      <c r="A4" s="44" t="s">
        <v>1112</v>
      </c>
      <c r="B4" s="44" t="s">
        <v>1113</v>
      </c>
      <c r="C4" s="44" t="s">
        <v>422</v>
      </c>
      <c r="D4" s="44" t="s">
        <v>376</v>
      </c>
      <c r="E4" s="44" t="s">
        <v>377</v>
      </c>
      <c r="F4" s="44" t="s">
        <v>349</v>
      </c>
      <c r="G4" s="44" t="s">
        <v>341</v>
      </c>
      <c r="H4" s="44" t="s">
        <v>333</v>
      </c>
      <c r="I4" s="44" t="s">
        <v>123</v>
      </c>
      <c r="J4" s="44" t="s">
        <v>123</v>
      </c>
      <c r="K4" s="44" t="s">
        <v>381</v>
      </c>
      <c r="L4" s="44" t="s">
        <v>374</v>
      </c>
      <c r="M4" s="44" t="s">
        <v>123</v>
      </c>
      <c r="N4" s="44" t="s">
        <v>390</v>
      </c>
      <c r="O4" s="44" t="s">
        <v>122</v>
      </c>
      <c r="P4" s="44" t="s">
        <v>123</v>
      </c>
      <c r="Q4" s="44" t="s">
        <v>1114</v>
      </c>
      <c r="R4" s="44" t="s">
        <v>1111</v>
      </c>
      <c r="S4" s="40" t="s">
        <v>120</v>
      </c>
      <c r="T4" s="40" t="s">
        <v>121</v>
      </c>
      <c r="U4" s="40" t="s">
        <v>122</v>
      </c>
      <c r="V4" s="40"/>
    </row>
    <row r="5" spans="1:22" ht="24" x14ac:dyDescent="0.55000000000000004">
      <c r="A5" s="44" t="s">
        <v>1115</v>
      </c>
      <c r="B5" s="44" t="s">
        <v>1116</v>
      </c>
      <c r="C5" s="44" t="s">
        <v>418</v>
      </c>
      <c r="D5" s="44" t="s">
        <v>419</v>
      </c>
      <c r="E5" s="44" t="s">
        <v>420</v>
      </c>
      <c r="F5" s="44" t="s">
        <v>364</v>
      </c>
      <c r="G5" s="44" t="s">
        <v>1117</v>
      </c>
      <c r="H5" s="44" t="s">
        <v>446</v>
      </c>
      <c r="I5" s="44" t="s">
        <v>123</v>
      </c>
      <c r="J5" s="44" t="s">
        <v>123</v>
      </c>
      <c r="K5" s="44" t="s">
        <v>381</v>
      </c>
      <c r="L5" s="44" t="s">
        <v>395</v>
      </c>
      <c r="M5" s="44" t="s">
        <v>123</v>
      </c>
      <c r="N5" s="44" t="s">
        <v>809</v>
      </c>
      <c r="O5" s="44" t="s">
        <v>122</v>
      </c>
      <c r="P5" s="44" t="s">
        <v>123</v>
      </c>
      <c r="Q5" s="44" t="s">
        <v>1118</v>
      </c>
      <c r="R5" s="44" t="s">
        <v>123</v>
      </c>
      <c r="S5" s="40" t="s">
        <v>120</v>
      </c>
      <c r="T5" s="40" t="s">
        <v>121</v>
      </c>
      <c r="U5" s="40" t="s">
        <v>122</v>
      </c>
      <c r="V5" s="40"/>
    </row>
    <row r="6" spans="1:22" ht="24" x14ac:dyDescent="0.55000000000000004">
      <c r="A6" s="44" t="s">
        <v>1119</v>
      </c>
      <c r="B6" s="44" t="s">
        <v>1120</v>
      </c>
      <c r="C6" s="44" t="s">
        <v>327</v>
      </c>
      <c r="D6" s="44" t="s">
        <v>408</v>
      </c>
      <c r="E6" s="44" t="s">
        <v>409</v>
      </c>
      <c r="F6" s="44" t="s">
        <v>881</v>
      </c>
      <c r="G6" s="44" t="s">
        <v>341</v>
      </c>
      <c r="H6" s="44" t="s">
        <v>342</v>
      </c>
      <c r="I6" s="44" t="s">
        <v>123</v>
      </c>
      <c r="J6" s="44" t="s">
        <v>123</v>
      </c>
      <c r="K6" s="44" t="s">
        <v>373</v>
      </c>
      <c r="L6" s="44" t="s">
        <v>360</v>
      </c>
      <c r="M6" s="44" t="s">
        <v>1121</v>
      </c>
      <c r="N6" s="44" t="s">
        <v>1103</v>
      </c>
      <c r="O6" s="44" t="s">
        <v>122</v>
      </c>
      <c r="P6" s="44" t="s">
        <v>123</v>
      </c>
      <c r="Q6" s="44" t="s">
        <v>1122</v>
      </c>
      <c r="R6" s="44" t="s">
        <v>1123</v>
      </c>
      <c r="S6" s="40" t="s">
        <v>120</v>
      </c>
      <c r="T6" s="40" t="s">
        <v>121</v>
      </c>
      <c r="U6" s="40" t="s">
        <v>122</v>
      </c>
      <c r="V6" s="40"/>
    </row>
    <row r="7" spans="1:22" ht="24" x14ac:dyDescent="0.55000000000000004">
      <c r="A7" s="45" t="s">
        <v>1124</v>
      </c>
      <c r="B7" s="45" t="s">
        <v>1125</v>
      </c>
      <c r="C7" s="45" t="s">
        <v>327</v>
      </c>
      <c r="D7" s="45" t="s">
        <v>376</v>
      </c>
      <c r="E7" s="45" t="s">
        <v>377</v>
      </c>
      <c r="F7" s="45" t="s">
        <v>357</v>
      </c>
      <c r="G7" s="45" t="s">
        <v>877</v>
      </c>
      <c r="H7" s="45" t="s">
        <v>446</v>
      </c>
      <c r="I7" s="45" t="s">
        <v>513</v>
      </c>
      <c r="J7" s="45" t="s">
        <v>547</v>
      </c>
      <c r="K7" s="45" t="s">
        <v>373</v>
      </c>
      <c r="L7" s="45" t="s">
        <v>353</v>
      </c>
      <c r="M7" s="45" t="s">
        <v>367</v>
      </c>
      <c r="N7" s="45" t="s">
        <v>345</v>
      </c>
      <c r="O7" s="45" t="s">
        <v>122</v>
      </c>
      <c r="P7" s="45" t="s">
        <v>123</v>
      </c>
      <c r="Q7" s="45" t="s">
        <v>123</v>
      </c>
      <c r="R7" s="45" t="s">
        <v>1126</v>
      </c>
      <c r="S7" s="40" t="s">
        <v>131</v>
      </c>
      <c r="T7" s="40" t="s">
        <v>132</v>
      </c>
      <c r="U7" s="40" t="s">
        <v>122</v>
      </c>
      <c r="V7" s="40"/>
    </row>
    <row r="8" spans="1:22" ht="24" x14ac:dyDescent="0.55000000000000004">
      <c r="A8" s="45" t="s">
        <v>1127</v>
      </c>
      <c r="B8" s="45" t="s">
        <v>1128</v>
      </c>
      <c r="C8" s="45" t="s">
        <v>327</v>
      </c>
      <c r="D8" s="45" t="s">
        <v>376</v>
      </c>
      <c r="E8" s="45" t="s">
        <v>377</v>
      </c>
      <c r="F8" s="45" t="s">
        <v>364</v>
      </c>
      <c r="G8" s="45" t="s">
        <v>877</v>
      </c>
      <c r="H8" s="45" t="s">
        <v>446</v>
      </c>
      <c r="I8" s="45" t="s">
        <v>513</v>
      </c>
      <c r="J8" s="45" t="s">
        <v>123</v>
      </c>
      <c r="K8" s="45" t="s">
        <v>373</v>
      </c>
      <c r="L8" s="45" t="s">
        <v>353</v>
      </c>
      <c r="M8" s="45" t="s">
        <v>367</v>
      </c>
      <c r="N8" s="45" t="s">
        <v>345</v>
      </c>
      <c r="O8" s="45" t="s">
        <v>122</v>
      </c>
      <c r="P8" s="45" t="s">
        <v>123</v>
      </c>
      <c r="Q8" s="45" t="s">
        <v>123</v>
      </c>
      <c r="R8" s="45" t="s">
        <v>1129</v>
      </c>
      <c r="S8" s="40" t="s">
        <v>131</v>
      </c>
      <c r="T8" s="40" t="s">
        <v>132</v>
      </c>
      <c r="U8" s="40" t="s">
        <v>122</v>
      </c>
      <c r="V8" s="40"/>
    </row>
    <row r="9" spans="1:22" ht="24" x14ac:dyDescent="0.55000000000000004">
      <c r="A9" s="45" t="s">
        <v>1130</v>
      </c>
      <c r="B9" s="45" t="s">
        <v>1131</v>
      </c>
      <c r="C9" s="45" t="s">
        <v>327</v>
      </c>
      <c r="D9" s="45" t="s">
        <v>384</v>
      </c>
      <c r="E9" s="45" t="s">
        <v>397</v>
      </c>
      <c r="F9" s="45" t="s">
        <v>364</v>
      </c>
      <c r="G9" s="45" t="s">
        <v>877</v>
      </c>
      <c r="H9" s="45" t="s">
        <v>446</v>
      </c>
      <c r="I9" s="45" t="s">
        <v>513</v>
      </c>
      <c r="J9" s="45" t="s">
        <v>123</v>
      </c>
      <c r="K9" s="45" t="s">
        <v>373</v>
      </c>
      <c r="L9" s="45" t="s">
        <v>353</v>
      </c>
      <c r="M9" s="45" t="s">
        <v>367</v>
      </c>
      <c r="N9" s="45" t="s">
        <v>345</v>
      </c>
      <c r="O9" s="45" t="s">
        <v>122</v>
      </c>
      <c r="P9" s="45" t="s">
        <v>123</v>
      </c>
      <c r="Q9" s="45" t="s">
        <v>123</v>
      </c>
      <c r="R9" s="45" t="s">
        <v>1132</v>
      </c>
      <c r="S9" s="40" t="s">
        <v>131</v>
      </c>
      <c r="T9" s="40" t="s">
        <v>132</v>
      </c>
      <c r="U9" s="40" t="s">
        <v>122</v>
      </c>
      <c r="V9" s="40"/>
    </row>
    <row r="10" spans="1:22" ht="24" x14ac:dyDescent="0.55000000000000004">
      <c r="A10" s="45" t="s">
        <v>1133</v>
      </c>
      <c r="B10" s="45" t="s">
        <v>1134</v>
      </c>
      <c r="C10" s="45" t="s">
        <v>327</v>
      </c>
      <c r="D10" s="45" t="s">
        <v>384</v>
      </c>
      <c r="E10" s="45" t="s">
        <v>397</v>
      </c>
      <c r="F10" s="45" t="s">
        <v>364</v>
      </c>
      <c r="G10" s="45" t="s">
        <v>797</v>
      </c>
      <c r="H10" s="45" t="s">
        <v>446</v>
      </c>
      <c r="I10" s="45" t="s">
        <v>513</v>
      </c>
      <c r="J10" s="45" t="s">
        <v>123</v>
      </c>
      <c r="K10" s="45" t="s">
        <v>373</v>
      </c>
      <c r="L10" s="45" t="s">
        <v>353</v>
      </c>
      <c r="M10" s="45" t="s">
        <v>367</v>
      </c>
      <c r="N10" s="45" t="s">
        <v>345</v>
      </c>
      <c r="O10" s="45" t="s">
        <v>122</v>
      </c>
      <c r="P10" s="45" t="s">
        <v>123</v>
      </c>
      <c r="Q10" s="45" t="s">
        <v>123</v>
      </c>
      <c r="R10" s="45" t="s">
        <v>1135</v>
      </c>
      <c r="S10" s="40" t="s">
        <v>131</v>
      </c>
      <c r="T10" s="40" t="s">
        <v>132</v>
      </c>
      <c r="U10" s="40" t="s">
        <v>122</v>
      </c>
      <c r="V10" s="40"/>
    </row>
  </sheetData>
  <phoneticPr fontId="21" type="noConversion"/>
  <pageMargins left="0.75" right="0.75" top="1" bottom="1" header="0.5" footer="0.5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A1:V8"/>
  <sheetViews>
    <sheetView workbookViewId="0">
      <pane ySplit="1" topLeftCell="A2" activePane="bottomLeft" state="frozen"/>
      <selection pane="bottomLeft" activeCell="E41" sqref="E41"/>
    </sheetView>
  </sheetViews>
  <sheetFormatPr defaultColWidth="10.85546875" defaultRowHeight="15" x14ac:dyDescent="0.25"/>
  <cols>
    <col min="2" max="2" width="36.85546875" customWidth="1"/>
  </cols>
  <sheetData>
    <row r="1" spans="1:22" ht="124.5" customHeight="1" x14ac:dyDescent="0.55000000000000004">
      <c r="A1" s="29" t="s">
        <v>1</v>
      </c>
      <c r="B1" s="29" t="s">
        <v>2</v>
      </c>
      <c r="C1" s="29" t="s">
        <v>425</v>
      </c>
      <c r="D1" s="29" t="s">
        <v>426</v>
      </c>
      <c r="E1" s="29" t="s">
        <v>427</v>
      </c>
      <c r="F1" s="29" t="s">
        <v>4</v>
      </c>
      <c r="G1" s="29" t="s">
        <v>428</v>
      </c>
      <c r="H1" s="29" t="s">
        <v>429</v>
      </c>
      <c r="I1" s="29" t="s">
        <v>5</v>
      </c>
      <c r="J1" s="29" t="s">
        <v>430</v>
      </c>
      <c r="K1" s="29" t="s">
        <v>6</v>
      </c>
      <c r="L1" s="29" t="s">
        <v>431</v>
      </c>
      <c r="M1" s="29" t="s">
        <v>432</v>
      </c>
      <c r="N1" s="29" t="s">
        <v>433</v>
      </c>
      <c r="O1" s="29" t="s">
        <v>115</v>
      </c>
      <c r="P1" s="29" t="s">
        <v>9</v>
      </c>
      <c r="Q1" s="29" t="s">
        <v>434</v>
      </c>
      <c r="R1" s="29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44" t="s">
        <v>1136</v>
      </c>
      <c r="B2" s="44" t="s">
        <v>1137</v>
      </c>
      <c r="C2" s="44" t="s">
        <v>411</v>
      </c>
      <c r="D2" s="44" t="s">
        <v>328</v>
      </c>
      <c r="E2" s="44" t="s">
        <v>355</v>
      </c>
      <c r="F2" s="44" t="s">
        <v>1138</v>
      </c>
      <c r="G2" s="44" t="s">
        <v>1117</v>
      </c>
      <c r="H2" s="44" t="s">
        <v>333</v>
      </c>
      <c r="I2" s="44" t="s">
        <v>123</v>
      </c>
      <c r="J2" s="44" t="s">
        <v>439</v>
      </c>
      <c r="K2" s="44" t="s">
        <v>334</v>
      </c>
      <c r="L2" s="44" t="s">
        <v>400</v>
      </c>
      <c r="M2" s="44" t="s">
        <v>1139</v>
      </c>
      <c r="N2" s="44" t="s">
        <v>1140</v>
      </c>
      <c r="O2" s="44" t="s">
        <v>139</v>
      </c>
      <c r="P2" s="23" t="s">
        <v>1141</v>
      </c>
      <c r="Q2" s="44" t="s">
        <v>123</v>
      </c>
      <c r="R2" s="44" t="s">
        <v>1142</v>
      </c>
      <c r="S2" s="40" t="s">
        <v>120</v>
      </c>
      <c r="T2" s="40" t="s">
        <v>121</v>
      </c>
      <c r="U2" s="40" t="s">
        <v>139</v>
      </c>
      <c r="V2" s="40"/>
    </row>
    <row r="3" spans="1:22" ht="24" x14ac:dyDescent="0.55000000000000004">
      <c r="A3" s="44" t="s">
        <v>1143</v>
      </c>
      <c r="B3" s="44" t="s">
        <v>1144</v>
      </c>
      <c r="C3" s="44" t="s">
        <v>327</v>
      </c>
      <c r="D3" s="44" t="s">
        <v>328</v>
      </c>
      <c r="E3" s="44" t="s">
        <v>355</v>
      </c>
      <c r="F3" s="44" t="s">
        <v>1138</v>
      </c>
      <c r="G3" s="44" t="s">
        <v>372</v>
      </c>
      <c r="H3" s="44" t="s">
        <v>351</v>
      </c>
      <c r="I3" s="44" t="s">
        <v>123</v>
      </c>
      <c r="J3" s="44" t="s">
        <v>1145</v>
      </c>
      <c r="K3" s="44" t="s">
        <v>343</v>
      </c>
      <c r="L3" s="44" t="s">
        <v>360</v>
      </c>
      <c r="M3" s="44" t="s">
        <v>123</v>
      </c>
      <c r="N3" s="44" t="s">
        <v>1146</v>
      </c>
      <c r="O3" s="44" t="s">
        <v>139</v>
      </c>
      <c r="P3" s="23" t="s">
        <v>1141</v>
      </c>
      <c r="Q3" s="44" t="s">
        <v>1147</v>
      </c>
      <c r="R3" s="44" t="s">
        <v>123</v>
      </c>
      <c r="S3" s="40" t="s">
        <v>120</v>
      </c>
      <c r="T3" s="40" t="s">
        <v>121</v>
      </c>
      <c r="U3" s="40" t="s">
        <v>139</v>
      </c>
      <c r="V3" s="40"/>
    </row>
    <row r="4" spans="1:22" ht="24" x14ac:dyDescent="0.55000000000000004">
      <c r="A4" s="44" t="s">
        <v>1148</v>
      </c>
      <c r="B4" s="44" t="s">
        <v>1149</v>
      </c>
      <c r="C4" s="44" t="s">
        <v>411</v>
      </c>
      <c r="D4" s="44" t="s">
        <v>328</v>
      </c>
      <c r="E4" s="44" t="s">
        <v>329</v>
      </c>
      <c r="F4" s="44" t="s">
        <v>364</v>
      </c>
      <c r="G4" s="44" t="s">
        <v>372</v>
      </c>
      <c r="H4" s="44" t="s">
        <v>333</v>
      </c>
      <c r="I4" s="44" t="s">
        <v>123</v>
      </c>
      <c r="J4" s="44" t="s">
        <v>1150</v>
      </c>
      <c r="K4" s="44" t="s">
        <v>334</v>
      </c>
      <c r="L4" s="44" t="s">
        <v>400</v>
      </c>
      <c r="M4" s="44" t="s">
        <v>1151</v>
      </c>
      <c r="N4" s="44" t="s">
        <v>336</v>
      </c>
      <c r="O4" s="44" t="s">
        <v>139</v>
      </c>
      <c r="P4" s="23" t="s">
        <v>1152</v>
      </c>
      <c r="Q4" s="44" t="s">
        <v>123</v>
      </c>
      <c r="R4" s="44" t="s">
        <v>123</v>
      </c>
      <c r="S4" s="40" t="s">
        <v>120</v>
      </c>
      <c r="T4" s="40" t="s">
        <v>121</v>
      </c>
      <c r="U4" s="40" t="s">
        <v>139</v>
      </c>
      <c r="V4" s="40"/>
    </row>
    <row r="5" spans="1:22" ht="24" x14ac:dyDescent="0.55000000000000004">
      <c r="A5" s="44" t="s">
        <v>1153</v>
      </c>
      <c r="B5" s="44" t="s">
        <v>1154</v>
      </c>
      <c r="C5" s="44" t="s">
        <v>411</v>
      </c>
      <c r="D5" s="44" t="s">
        <v>412</v>
      </c>
      <c r="E5" s="44" t="s">
        <v>413</v>
      </c>
      <c r="F5" s="44" t="s">
        <v>364</v>
      </c>
      <c r="G5" s="44" t="s">
        <v>341</v>
      </c>
      <c r="H5" s="44" t="s">
        <v>333</v>
      </c>
      <c r="I5" s="44" t="s">
        <v>123</v>
      </c>
      <c r="J5" s="44" t="s">
        <v>123</v>
      </c>
      <c r="K5" s="44" t="s">
        <v>334</v>
      </c>
      <c r="L5" s="44" t="s">
        <v>400</v>
      </c>
      <c r="M5" s="44" t="s">
        <v>1155</v>
      </c>
      <c r="N5" s="44" t="s">
        <v>336</v>
      </c>
      <c r="O5" s="44" t="s">
        <v>139</v>
      </c>
      <c r="P5" s="23" t="s">
        <v>1152</v>
      </c>
      <c r="Q5" s="44" t="s">
        <v>123</v>
      </c>
      <c r="R5" s="44" t="s">
        <v>123</v>
      </c>
      <c r="S5" s="40" t="s">
        <v>120</v>
      </c>
      <c r="T5" s="40" t="s">
        <v>121</v>
      </c>
      <c r="U5" s="40" t="s">
        <v>139</v>
      </c>
      <c r="V5" s="40"/>
    </row>
    <row r="6" spans="1:22" ht="24" x14ac:dyDescent="0.55000000000000004">
      <c r="A6" s="44" t="s">
        <v>1156</v>
      </c>
      <c r="B6" s="44" t="s">
        <v>1157</v>
      </c>
      <c r="C6" s="44" t="s">
        <v>422</v>
      </c>
      <c r="D6" s="44" t="s">
        <v>376</v>
      </c>
      <c r="E6" s="44" t="s">
        <v>377</v>
      </c>
      <c r="F6" s="44" t="s">
        <v>364</v>
      </c>
      <c r="G6" s="44" t="s">
        <v>1158</v>
      </c>
      <c r="H6" s="44" t="s">
        <v>333</v>
      </c>
      <c r="I6" s="44" t="s">
        <v>123</v>
      </c>
      <c r="J6" s="44" t="s">
        <v>1159</v>
      </c>
      <c r="K6" s="44" t="s">
        <v>373</v>
      </c>
      <c r="L6" s="44" t="s">
        <v>360</v>
      </c>
      <c r="M6" s="44" t="s">
        <v>1160</v>
      </c>
      <c r="N6" s="44" t="s">
        <v>1161</v>
      </c>
      <c r="O6" s="44" t="s">
        <v>122</v>
      </c>
      <c r="P6" s="23" t="s">
        <v>1152</v>
      </c>
      <c r="Q6" s="44" t="s">
        <v>123</v>
      </c>
      <c r="R6" s="44" t="s">
        <v>1162</v>
      </c>
      <c r="S6" s="40" t="s">
        <v>120</v>
      </c>
      <c r="T6" s="40" t="s">
        <v>121</v>
      </c>
      <c r="U6" s="40" t="s">
        <v>139</v>
      </c>
      <c r="V6" s="40"/>
    </row>
    <row r="7" spans="1:22" ht="24" x14ac:dyDescent="0.55000000000000004">
      <c r="A7" s="44" t="s">
        <v>1163</v>
      </c>
      <c r="B7" s="44" t="s">
        <v>1164</v>
      </c>
      <c r="C7" s="44" t="s">
        <v>418</v>
      </c>
      <c r="D7" s="44" t="s">
        <v>419</v>
      </c>
      <c r="E7" s="44" t="s">
        <v>420</v>
      </c>
      <c r="F7" s="44" t="s">
        <v>371</v>
      </c>
      <c r="G7" s="44" t="s">
        <v>1165</v>
      </c>
      <c r="H7" s="44" t="s">
        <v>333</v>
      </c>
      <c r="I7" s="44" t="s">
        <v>1166</v>
      </c>
      <c r="J7" s="44" t="s">
        <v>985</v>
      </c>
      <c r="K7" s="44" t="s">
        <v>373</v>
      </c>
      <c r="L7" s="44" t="s">
        <v>360</v>
      </c>
      <c r="M7" s="44" t="s">
        <v>1160</v>
      </c>
      <c r="N7" s="44" t="s">
        <v>1167</v>
      </c>
      <c r="O7" s="44" t="s">
        <v>139</v>
      </c>
      <c r="P7" s="23" t="s">
        <v>1152</v>
      </c>
      <c r="Q7" s="44" t="s">
        <v>123</v>
      </c>
      <c r="R7" s="44" t="s">
        <v>1168</v>
      </c>
      <c r="S7" s="40" t="s">
        <v>120</v>
      </c>
      <c r="T7" s="40" t="s">
        <v>121</v>
      </c>
      <c r="U7" s="40" t="s">
        <v>139</v>
      </c>
      <c r="V7" s="40"/>
    </row>
    <row r="8" spans="1:22" ht="24" x14ac:dyDescent="0.55000000000000004">
      <c r="A8" s="44" t="s">
        <v>1169</v>
      </c>
      <c r="B8" s="44" t="s">
        <v>1170</v>
      </c>
      <c r="C8" s="44" t="s">
        <v>411</v>
      </c>
      <c r="D8" s="44" t="s">
        <v>328</v>
      </c>
      <c r="E8" s="44" t="s">
        <v>369</v>
      </c>
      <c r="F8" s="44" t="s">
        <v>1171</v>
      </c>
      <c r="G8" s="44" t="s">
        <v>1165</v>
      </c>
      <c r="H8" s="44" t="s">
        <v>333</v>
      </c>
      <c r="I8" s="44" t="s">
        <v>123</v>
      </c>
      <c r="J8" s="44" t="s">
        <v>1172</v>
      </c>
      <c r="K8" s="44" t="s">
        <v>334</v>
      </c>
      <c r="L8" s="44" t="s">
        <v>400</v>
      </c>
      <c r="M8" s="44" t="s">
        <v>1173</v>
      </c>
      <c r="N8" s="44" t="s">
        <v>336</v>
      </c>
      <c r="O8" s="44" t="s">
        <v>139</v>
      </c>
      <c r="P8" s="23" t="s">
        <v>1174</v>
      </c>
      <c r="Q8" s="44" t="s">
        <v>1175</v>
      </c>
      <c r="R8" s="44" t="s">
        <v>123</v>
      </c>
      <c r="S8" s="40" t="s">
        <v>120</v>
      </c>
      <c r="T8" s="40" t="s">
        <v>121</v>
      </c>
      <c r="U8" s="40" t="s">
        <v>139</v>
      </c>
      <c r="V8" s="40"/>
    </row>
  </sheetData>
  <autoFilter ref="A1:V8" xr:uid="{00000000-0001-0000-1C00-000000000000}">
    <sortState xmlns:xlrd2="http://schemas.microsoft.com/office/spreadsheetml/2017/richdata2" ref="A2:V8">
      <sortCondition ref="A1:A8"/>
    </sortState>
  </autoFilter>
  <hyperlinks>
    <hyperlink ref="P4" r:id="rId1" xr:uid="{AB7ED74F-9ED2-9346-8934-28AC5474D9AD}"/>
    <hyperlink ref="P5" r:id="rId2" xr:uid="{E889B97A-950C-5B4D-A103-8B2C8FF5DECA}"/>
    <hyperlink ref="P6" r:id="rId3" xr:uid="{F6129C78-21A9-074F-B2A8-26A0D74E01D6}"/>
    <hyperlink ref="P7" r:id="rId4" xr:uid="{E1A25C91-09E1-E340-8BFA-BBFE28B2B9EF}"/>
    <hyperlink ref="P8" r:id="rId5" xr:uid="{53F36906-A8F6-DD43-A700-B02D4296B094}"/>
    <hyperlink ref="P3" r:id="rId6" xr:uid="{5DD0D1D4-FA90-2C4B-84EB-37D4781E5216}"/>
    <hyperlink ref="P2" r:id="rId7" xr:uid="{055C96B9-C2EC-7248-B1AF-15D07DEC78D7}"/>
  </hyperlinks>
  <pageMargins left="0.75" right="0.75" top="1" bottom="1" header="0.5" footer="0.5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V6"/>
  <sheetViews>
    <sheetView workbookViewId="0">
      <pane ySplit="1" topLeftCell="A2" activePane="bottomLeft" state="frozen"/>
      <selection pane="bottomLeft" activeCell="S2" sqref="S2:U3"/>
    </sheetView>
  </sheetViews>
  <sheetFormatPr defaultColWidth="10.85546875" defaultRowHeight="15" x14ac:dyDescent="0.25"/>
  <cols>
    <col min="2" max="2" width="36.28515625" customWidth="1"/>
  </cols>
  <sheetData>
    <row r="1" spans="1:22" ht="124.5" customHeight="1" x14ac:dyDescent="0.55000000000000004">
      <c r="A1" s="29" t="s">
        <v>1</v>
      </c>
      <c r="B1" s="29" t="s">
        <v>2</v>
      </c>
      <c r="C1" s="29" t="s">
        <v>425</v>
      </c>
      <c r="D1" s="29" t="s">
        <v>426</v>
      </c>
      <c r="E1" s="29" t="s">
        <v>427</v>
      </c>
      <c r="F1" s="29" t="s">
        <v>4</v>
      </c>
      <c r="G1" s="29" t="s">
        <v>428</v>
      </c>
      <c r="H1" s="29" t="s">
        <v>429</v>
      </c>
      <c r="I1" s="29" t="s">
        <v>5</v>
      </c>
      <c r="J1" s="29" t="s">
        <v>430</v>
      </c>
      <c r="K1" s="29" t="s">
        <v>6</v>
      </c>
      <c r="L1" s="29" t="s">
        <v>431</v>
      </c>
      <c r="M1" s="29" t="s">
        <v>432</v>
      </c>
      <c r="N1" s="29" t="s">
        <v>433</v>
      </c>
      <c r="O1" s="29" t="s">
        <v>115</v>
      </c>
      <c r="P1" s="29" t="s">
        <v>9</v>
      </c>
      <c r="Q1" s="29" t="s">
        <v>434</v>
      </c>
      <c r="R1" s="29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44" t="s">
        <v>1176</v>
      </c>
      <c r="B2" s="44" t="s">
        <v>1177</v>
      </c>
      <c r="C2" s="44" t="s">
        <v>327</v>
      </c>
      <c r="D2" s="44" t="s">
        <v>328</v>
      </c>
      <c r="E2" s="44" t="s">
        <v>338</v>
      </c>
      <c r="F2" s="44" t="s">
        <v>364</v>
      </c>
      <c r="G2" s="44" t="s">
        <v>1158</v>
      </c>
      <c r="H2" s="44" t="s">
        <v>342</v>
      </c>
      <c r="I2" s="44" t="s">
        <v>647</v>
      </c>
      <c r="J2" s="44" t="s">
        <v>1178</v>
      </c>
      <c r="K2" s="44" t="s">
        <v>373</v>
      </c>
      <c r="L2" s="44" t="s">
        <v>360</v>
      </c>
      <c r="M2" s="44" t="s">
        <v>1179</v>
      </c>
      <c r="N2" s="44" t="s">
        <v>1180</v>
      </c>
      <c r="O2" s="44" t="s">
        <v>122</v>
      </c>
      <c r="P2" s="44" t="s">
        <v>123</v>
      </c>
      <c r="Q2" s="44" t="s">
        <v>1181</v>
      </c>
      <c r="R2" s="44" t="s">
        <v>1182</v>
      </c>
      <c r="S2" s="40" t="s">
        <v>120</v>
      </c>
      <c r="T2" s="40" t="s">
        <v>121</v>
      </c>
      <c r="U2" s="40" t="s">
        <v>122</v>
      </c>
      <c r="V2" s="40" t="s">
        <v>1183</v>
      </c>
    </row>
    <row r="3" spans="1:22" ht="24" x14ac:dyDescent="0.55000000000000004">
      <c r="A3" s="44" t="s">
        <v>1184</v>
      </c>
      <c r="B3" s="44" t="s">
        <v>1185</v>
      </c>
      <c r="C3" s="44" t="s">
        <v>422</v>
      </c>
      <c r="D3" s="44" t="s">
        <v>422</v>
      </c>
      <c r="E3" s="44" t="s">
        <v>362</v>
      </c>
      <c r="F3" s="44" t="s">
        <v>364</v>
      </c>
      <c r="G3" s="44" t="s">
        <v>1186</v>
      </c>
      <c r="H3" s="44" t="s">
        <v>333</v>
      </c>
      <c r="I3" s="44" t="s">
        <v>647</v>
      </c>
      <c r="J3" s="44" t="s">
        <v>1150</v>
      </c>
      <c r="K3" s="44" t="s">
        <v>381</v>
      </c>
      <c r="L3" s="44" t="s">
        <v>400</v>
      </c>
      <c r="M3" s="44" t="s">
        <v>1187</v>
      </c>
      <c r="N3" s="44" t="s">
        <v>361</v>
      </c>
      <c r="O3" s="44" t="s">
        <v>122</v>
      </c>
      <c r="P3" s="44" t="s">
        <v>123</v>
      </c>
      <c r="Q3" s="44" t="s">
        <v>1188</v>
      </c>
      <c r="R3" s="44" t="s">
        <v>123</v>
      </c>
      <c r="S3" s="40" t="s">
        <v>120</v>
      </c>
      <c r="T3" s="40" t="s">
        <v>121</v>
      </c>
      <c r="U3" s="40" t="s">
        <v>122</v>
      </c>
      <c r="V3" s="40"/>
    </row>
    <row r="4" spans="1:22" ht="24" x14ac:dyDescent="0.55000000000000004">
      <c r="A4" s="44" t="s">
        <v>1189</v>
      </c>
      <c r="B4" s="44" t="s">
        <v>1190</v>
      </c>
      <c r="C4" s="44" t="s">
        <v>327</v>
      </c>
      <c r="D4" s="44" t="s">
        <v>384</v>
      </c>
      <c r="E4" s="44" t="s">
        <v>385</v>
      </c>
      <c r="F4" s="44" t="s">
        <v>1191</v>
      </c>
      <c r="G4" s="44" t="s">
        <v>1047</v>
      </c>
      <c r="H4" s="44" t="s">
        <v>342</v>
      </c>
      <c r="I4" s="44" t="s">
        <v>647</v>
      </c>
      <c r="J4" s="44" t="s">
        <v>123</v>
      </c>
      <c r="K4" s="44" t="s">
        <v>373</v>
      </c>
      <c r="L4" s="44" t="s">
        <v>360</v>
      </c>
      <c r="M4" s="44" t="s">
        <v>1192</v>
      </c>
      <c r="N4" s="44" t="s">
        <v>1103</v>
      </c>
      <c r="O4" s="44" t="s">
        <v>122</v>
      </c>
      <c r="P4" s="44" t="s">
        <v>123</v>
      </c>
      <c r="Q4" s="44" t="s">
        <v>1193</v>
      </c>
      <c r="R4" s="44" t="s">
        <v>1194</v>
      </c>
      <c r="S4" s="40" t="s">
        <v>120</v>
      </c>
      <c r="T4" s="40" t="s">
        <v>121</v>
      </c>
      <c r="U4" s="40" t="s">
        <v>122</v>
      </c>
      <c r="V4" s="40"/>
    </row>
    <row r="5" spans="1:22" ht="24" x14ac:dyDescent="0.55000000000000004">
      <c r="A5" s="44" t="s">
        <v>1195</v>
      </c>
      <c r="B5" s="44" t="s">
        <v>1196</v>
      </c>
      <c r="C5" s="44" t="s">
        <v>418</v>
      </c>
      <c r="D5" s="44" t="s">
        <v>419</v>
      </c>
      <c r="E5" s="44" t="s">
        <v>420</v>
      </c>
      <c r="F5" s="44" t="s">
        <v>724</v>
      </c>
      <c r="G5" s="44" t="s">
        <v>1197</v>
      </c>
      <c r="H5" s="44" t="s">
        <v>342</v>
      </c>
      <c r="I5" s="44" t="s">
        <v>647</v>
      </c>
      <c r="J5" s="44" t="s">
        <v>123</v>
      </c>
      <c r="K5" s="44" t="s">
        <v>373</v>
      </c>
      <c r="L5" s="44" t="s">
        <v>360</v>
      </c>
      <c r="M5" s="44" t="s">
        <v>1198</v>
      </c>
      <c r="N5" s="44" t="s">
        <v>809</v>
      </c>
      <c r="O5" s="44" t="s">
        <v>122</v>
      </c>
      <c r="P5" s="44" t="s">
        <v>123</v>
      </c>
      <c r="Q5" s="44" t="s">
        <v>123</v>
      </c>
      <c r="R5" s="44" t="s">
        <v>123</v>
      </c>
      <c r="S5" s="40" t="s">
        <v>120</v>
      </c>
      <c r="T5" s="40" t="s">
        <v>121</v>
      </c>
      <c r="U5" s="40" t="s">
        <v>122</v>
      </c>
      <c r="V5" s="40"/>
    </row>
    <row r="6" spans="1:22" ht="24" x14ac:dyDescent="0.55000000000000004">
      <c r="A6" s="44" t="s">
        <v>1199</v>
      </c>
      <c r="B6" s="44" t="s">
        <v>1200</v>
      </c>
      <c r="C6" s="44" t="s">
        <v>327</v>
      </c>
      <c r="D6" s="44" t="s">
        <v>405</v>
      </c>
      <c r="E6" s="44" t="s">
        <v>406</v>
      </c>
      <c r="F6" s="44" t="s">
        <v>724</v>
      </c>
      <c r="G6" s="44" t="s">
        <v>1197</v>
      </c>
      <c r="H6" s="44" t="s">
        <v>342</v>
      </c>
      <c r="I6" s="44" t="s">
        <v>647</v>
      </c>
      <c r="J6" s="44" t="s">
        <v>123</v>
      </c>
      <c r="K6" s="44" t="s">
        <v>373</v>
      </c>
      <c r="L6" s="44" t="s">
        <v>360</v>
      </c>
      <c r="M6" s="44" t="s">
        <v>1192</v>
      </c>
      <c r="N6" s="44" t="s">
        <v>1180</v>
      </c>
      <c r="O6" s="44" t="s">
        <v>122</v>
      </c>
      <c r="P6" s="44" t="s">
        <v>123</v>
      </c>
      <c r="Q6" s="44" t="s">
        <v>1201</v>
      </c>
      <c r="R6" s="44" t="s">
        <v>123</v>
      </c>
      <c r="S6" s="40" t="s">
        <v>120</v>
      </c>
      <c r="T6" s="40" t="s">
        <v>121</v>
      </c>
      <c r="U6" s="40" t="s">
        <v>122</v>
      </c>
      <c r="V6" s="40"/>
    </row>
  </sheetData>
  <pageMargins left="0.75" right="0.75" top="1" bottom="1" header="0.5" footer="0.5"/>
  <pageSetup paperSize="9"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A1:V3"/>
  <sheetViews>
    <sheetView workbookViewId="0">
      <pane ySplit="1" topLeftCell="A2" activePane="bottomLeft" state="frozen"/>
      <selection pane="bottomLeft" activeCell="E13" sqref="E13:E14"/>
    </sheetView>
  </sheetViews>
  <sheetFormatPr defaultColWidth="10.85546875" defaultRowHeight="15" x14ac:dyDescent="0.25"/>
  <cols>
    <col min="2" max="2" width="36.28515625" customWidth="1"/>
  </cols>
  <sheetData>
    <row r="1" spans="1:22" ht="124.5" customHeight="1" x14ac:dyDescent="0.55000000000000004">
      <c r="A1" s="29" t="s">
        <v>1</v>
      </c>
      <c r="B1" s="29" t="s">
        <v>2</v>
      </c>
      <c r="C1" s="29" t="s">
        <v>425</v>
      </c>
      <c r="D1" s="29" t="s">
        <v>426</v>
      </c>
      <c r="E1" s="29" t="s">
        <v>427</v>
      </c>
      <c r="F1" s="29" t="s">
        <v>4</v>
      </c>
      <c r="G1" s="29" t="s">
        <v>428</v>
      </c>
      <c r="H1" s="29" t="s">
        <v>429</v>
      </c>
      <c r="I1" s="29" t="s">
        <v>5</v>
      </c>
      <c r="J1" s="29" t="s">
        <v>430</v>
      </c>
      <c r="K1" s="29" t="s">
        <v>6</v>
      </c>
      <c r="L1" s="29" t="s">
        <v>431</v>
      </c>
      <c r="M1" s="29" t="s">
        <v>432</v>
      </c>
      <c r="N1" s="29" t="s">
        <v>433</v>
      </c>
      <c r="O1" s="29" t="s">
        <v>115</v>
      </c>
      <c r="P1" s="29" t="s">
        <v>9</v>
      </c>
      <c r="Q1" s="29" t="s">
        <v>434</v>
      </c>
      <c r="R1" s="29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44" t="s">
        <v>1202</v>
      </c>
      <c r="B2" s="44" t="s">
        <v>1203</v>
      </c>
      <c r="C2" s="44" t="s">
        <v>411</v>
      </c>
      <c r="D2" s="44" t="s">
        <v>376</v>
      </c>
      <c r="E2" s="44" t="s">
        <v>377</v>
      </c>
      <c r="F2" s="44" t="s">
        <v>357</v>
      </c>
      <c r="G2" s="44" t="s">
        <v>1204</v>
      </c>
      <c r="H2" s="44" t="s">
        <v>333</v>
      </c>
      <c r="I2" s="44" t="s">
        <v>761</v>
      </c>
      <c r="J2" s="44" t="s">
        <v>1205</v>
      </c>
      <c r="K2" s="44" t="s">
        <v>373</v>
      </c>
      <c r="L2" s="44" t="s">
        <v>360</v>
      </c>
      <c r="M2" s="44" t="s">
        <v>647</v>
      </c>
      <c r="N2" s="44" t="s">
        <v>1051</v>
      </c>
      <c r="O2" s="44" t="s">
        <v>122</v>
      </c>
      <c r="P2" s="44" t="s">
        <v>123</v>
      </c>
      <c r="Q2" s="44" t="s">
        <v>123</v>
      </c>
      <c r="R2" s="44" t="s">
        <v>1206</v>
      </c>
      <c r="S2" s="40" t="s">
        <v>120</v>
      </c>
      <c r="T2" s="40" t="s">
        <v>121</v>
      </c>
      <c r="U2" s="40" t="s">
        <v>122</v>
      </c>
      <c r="V2" s="40"/>
    </row>
    <row r="3" spans="1:22" ht="24" x14ac:dyDescent="0.55000000000000004">
      <c r="A3" s="44" t="s">
        <v>1207</v>
      </c>
      <c r="B3" s="44" t="s">
        <v>1208</v>
      </c>
      <c r="C3" s="44" t="s">
        <v>327</v>
      </c>
      <c r="D3" s="44" t="s">
        <v>408</v>
      </c>
      <c r="E3" s="44" t="s">
        <v>409</v>
      </c>
      <c r="F3" s="44" t="s">
        <v>357</v>
      </c>
      <c r="G3" s="44" t="s">
        <v>1204</v>
      </c>
      <c r="H3" s="44" t="s">
        <v>342</v>
      </c>
      <c r="I3" s="44" t="s">
        <v>647</v>
      </c>
      <c r="J3" s="44" t="s">
        <v>123</v>
      </c>
      <c r="K3" s="44" t="s">
        <v>373</v>
      </c>
      <c r="L3" s="44" t="s">
        <v>360</v>
      </c>
      <c r="M3" s="44" t="s">
        <v>647</v>
      </c>
      <c r="N3" s="44" t="s">
        <v>383</v>
      </c>
      <c r="O3" s="44" t="s">
        <v>122</v>
      </c>
      <c r="P3" s="44" t="s">
        <v>123</v>
      </c>
      <c r="Q3" s="44" t="s">
        <v>123</v>
      </c>
      <c r="R3" s="44" t="s">
        <v>1209</v>
      </c>
      <c r="S3" s="40" t="s">
        <v>120</v>
      </c>
      <c r="T3" s="40" t="s">
        <v>121</v>
      </c>
      <c r="U3" s="40" t="s">
        <v>122</v>
      </c>
      <c r="V3" s="40"/>
    </row>
  </sheetData>
  <pageMargins left="0.75" right="0.75" top="1" bottom="1" header="0.5" footer="0.5"/>
  <pageSetup paperSize="9" orientation="portrait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V15"/>
  <sheetViews>
    <sheetView workbookViewId="0">
      <pane ySplit="1" topLeftCell="A2" activePane="bottomLeft" state="frozen"/>
      <selection pane="bottomLeft" activeCell="B15" sqref="B15"/>
    </sheetView>
  </sheetViews>
  <sheetFormatPr defaultColWidth="10.85546875" defaultRowHeight="15" x14ac:dyDescent="0.25"/>
  <cols>
    <col min="2" max="2" width="39.7109375" customWidth="1"/>
  </cols>
  <sheetData>
    <row r="1" spans="1:22" ht="124.5" customHeight="1" x14ac:dyDescent="0.55000000000000004">
      <c r="A1" s="29" t="s">
        <v>1</v>
      </c>
      <c r="B1" s="29" t="s">
        <v>2</v>
      </c>
      <c r="C1" s="29" t="s">
        <v>425</v>
      </c>
      <c r="D1" s="29" t="s">
        <v>426</v>
      </c>
      <c r="E1" s="29" t="s">
        <v>427</v>
      </c>
      <c r="F1" s="29" t="s">
        <v>4</v>
      </c>
      <c r="G1" s="29" t="s">
        <v>428</v>
      </c>
      <c r="H1" s="29" t="s">
        <v>429</v>
      </c>
      <c r="I1" s="29" t="s">
        <v>5</v>
      </c>
      <c r="J1" s="29" t="s">
        <v>430</v>
      </c>
      <c r="K1" s="29" t="s">
        <v>6</v>
      </c>
      <c r="L1" s="29" t="s">
        <v>431</v>
      </c>
      <c r="M1" s="29" t="s">
        <v>432</v>
      </c>
      <c r="N1" s="29" t="s">
        <v>433</v>
      </c>
      <c r="O1" s="29" t="s">
        <v>115</v>
      </c>
      <c r="P1" s="29" t="s">
        <v>9</v>
      </c>
      <c r="Q1" s="29" t="s">
        <v>434</v>
      </c>
      <c r="R1" s="29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44" t="s">
        <v>1210</v>
      </c>
      <c r="B2" s="44" t="s">
        <v>1211</v>
      </c>
      <c r="C2" s="44" t="s">
        <v>327</v>
      </c>
      <c r="D2" s="44" t="s">
        <v>408</v>
      </c>
      <c r="E2" s="44" t="s">
        <v>409</v>
      </c>
      <c r="F2" s="44" t="s">
        <v>724</v>
      </c>
      <c r="G2" s="44" t="s">
        <v>380</v>
      </c>
      <c r="H2" s="44" t="s">
        <v>342</v>
      </c>
      <c r="I2" s="44" t="s">
        <v>123</v>
      </c>
      <c r="J2" s="44" t="s">
        <v>448</v>
      </c>
      <c r="K2" s="44" t="s">
        <v>373</v>
      </c>
      <c r="L2" s="44" t="s">
        <v>353</v>
      </c>
      <c r="M2" s="44" t="s">
        <v>123</v>
      </c>
      <c r="N2" s="44" t="s">
        <v>383</v>
      </c>
      <c r="O2" s="44" t="s">
        <v>122</v>
      </c>
      <c r="P2" s="44" t="s">
        <v>123</v>
      </c>
      <c r="Q2" s="44" t="s">
        <v>1212</v>
      </c>
      <c r="R2" s="44" t="s">
        <v>1213</v>
      </c>
      <c r="S2" s="40" t="s">
        <v>120</v>
      </c>
      <c r="T2" s="40" t="s">
        <v>121</v>
      </c>
      <c r="U2" s="40" t="s">
        <v>122</v>
      </c>
      <c r="V2" s="40"/>
    </row>
    <row r="3" spans="1:22" ht="24" x14ac:dyDescent="0.55000000000000004">
      <c r="A3" s="45" t="s">
        <v>1214</v>
      </c>
      <c r="B3" s="45" t="s">
        <v>1215</v>
      </c>
      <c r="C3" s="45" t="s">
        <v>327</v>
      </c>
      <c r="D3" s="45" t="s">
        <v>376</v>
      </c>
      <c r="E3" s="45" t="s">
        <v>377</v>
      </c>
      <c r="F3" s="45" t="s">
        <v>892</v>
      </c>
      <c r="G3" s="45" t="s">
        <v>995</v>
      </c>
      <c r="H3" s="45" t="s">
        <v>446</v>
      </c>
      <c r="I3" s="45" t="s">
        <v>513</v>
      </c>
      <c r="J3" s="45" t="s">
        <v>123</v>
      </c>
      <c r="K3" s="45" t="s">
        <v>373</v>
      </c>
      <c r="L3" s="45" t="s">
        <v>353</v>
      </c>
      <c r="M3" s="45" t="s">
        <v>367</v>
      </c>
      <c r="N3" s="45" t="s">
        <v>345</v>
      </c>
      <c r="O3" s="45" t="s">
        <v>122</v>
      </c>
      <c r="P3" s="45" t="s">
        <v>123</v>
      </c>
      <c r="Q3" s="45" t="s">
        <v>123</v>
      </c>
      <c r="R3" s="45" t="s">
        <v>1216</v>
      </c>
      <c r="S3" s="40" t="s">
        <v>131</v>
      </c>
      <c r="T3" s="40" t="s">
        <v>132</v>
      </c>
      <c r="U3" s="40" t="s">
        <v>122</v>
      </c>
      <c r="V3" s="40"/>
    </row>
    <row r="4" spans="1:22" ht="24" x14ac:dyDescent="0.55000000000000004">
      <c r="A4" s="45" t="s">
        <v>1217</v>
      </c>
      <c r="B4" s="45" t="s">
        <v>1218</v>
      </c>
      <c r="C4" s="45" t="s">
        <v>327</v>
      </c>
      <c r="D4" s="45" t="s">
        <v>384</v>
      </c>
      <c r="E4" s="45" t="s">
        <v>391</v>
      </c>
      <c r="F4" s="45" t="s">
        <v>892</v>
      </c>
      <c r="G4" s="45" t="s">
        <v>877</v>
      </c>
      <c r="H4" s="45" t="s">
        <v>446</v>
      </c>
      <c r="I4" s="45" t="s">
        <v>513</v>
      </c>
      <c r="J4" s="45" t="s">
        <v>946</v>
      </c>
      <c r="K4" s="45" t="s">
        <v>373</v>
      </c>
      <c r="L4" s="45" t="s">
        <v>353</v>
      </c>
      <c r="M4" s="45" t="s">
        <v>367</v>
      </c>
      <c r="N4" s="45" t="s">
        <v>345</v>
      </c>
      <c r="O4" s="45" t="s">
        <v>122</v>
      </c>
      <c r="P4" s="45" t="s">
        <v>123</v>
      </c>
      <c r="Q4" s="45" t="s">
        <v>123</v>
      </c>
      <c r="R4" s="45" t="s">
        <v>1219</v>
      </c>
      <c r="S4" s="40" t="s">
        <v>131</v>
      </c>
      <c r="T4" s="40" t="s">
        <v>132</v>
      </c>
      <c r="U4" s="40" t="s">
        <v>122</v>
      </c>
      <c r="V4" s="40"/>
    </row>
    <row r="5" spans="1:22" ht="24" x14ac:dyDescent="0.55000000000000004">
      <c r="A5" s="45" t="s">
        <v>1220</v>
      </c>
      <c r="B5" s="45" t="s">
        <v>1221</v>
      </c>
      <c r="C5" s="45" t="s">
        <v>327</v>
      </c>
      <c r="D5" s="45" t="s">
        <v>384</v>
      </c>
      <c r="E5" s="45" t="s">
        <v>391</v>
      </c>
      <c r="F5" s="45" t="s">
        <v>892</v>
      </c>
      <c r="G5" s="45" t="s">
        <v>877</v>
      </c>
      <c r="H5" s="45" t="s">
        <v>446</v>
      </c>
      <c r="I5" s="45" t="s">
        <v>513</v>
      </c>
      <c r="J5" s="45" t="s">
        <v>946</v>
      </c>
      <c r="K5" s="45" t="s">
        <v>373</v>
      </c>
      <c r="L5" s="45" t="s">
        <v>353</v>
      </c>
      <c r="M5" s="45" t="s">
        <v>367</v>
      </c>
      <c r="N5" s="45" t="s">
        <v>345</v>
      </c>
      <c r="O5" s="45" t="s">
        <v>122</v>
      </c>
      <c r="P5" s="45" t="s">
        <v>123</v>
      </c>
      <c r="Q5" s="45" t="s">
        <v>123</v>
      </c>
      <c r="R5" s="45" t="s">
        <v>1222</v>
      </c>
      <c r="S5" s="40" t="s">
        <v>131</v>
      </c>
      <c r="T5" s="40" t="s">
        <v>132</v>
      </c>
      <c r="U5" s="40" t="s">
        <v>122</v>
      </c>
      <c r="V5" s="40"/>
    </row>
    <row r="6" spans="1:22" ht="24" x14ac:dyDescent="0.55000000000000004">
      <c r="A6" s="45" t="s">
        <v>1223</v>
      </c>
      <c r="B6" s="45" t="s">
        <v>1224</v>
      </c>
      <c r="C6" s="45" t="s">
        <v>327</v>
      </c>
      <c r="D6" s="45" t="s">
        <v>384</v>
      </c>
      <c r="E6" s="45" t="s">
        <v>391</v>
      </c>
      <c r="F6" s="45" t="s">
        <v>892</v>
      </c>
      <c r="G6" s="45" t="s">
        <v>877</v>
      </c>
      <c r="H6" s="45" t="s">
        <v>446</v>
      </c>
      <c r="I6" s="45" t="s">
        <v>513</v>
      </c>
      <c r="J6" s="45" t="s">
        <v>946</v>
      </c>
      <c r="K6" s="45" t="s">
        <v>373</v>
      </c>
      <c r="L6" s="45" t="s">
        <v>353</v>
      </c>
      <c r="M6" s="45" t="s">
        <v>367</v>
      </c>
      <c r="N6" s="45" t="s">
        <v>345</v>
      </c>
      <c r="O6" s="45" t="s">
        <v>122</v>
      </c>
      <c r="P6" s="45" t="s">
        <v>123</v>
      </c>
      <c r="Q6" s="45" t="s">
        <v>123</v>
      </c>
      <c r="R6" s="45" t="s">
        <v>1225</v>
      </c>
      <c r="S6" s="40" t="s">
        <v>131</v>
      </c>
      <c r="T6" s="40" t="s">
        <v>132</v>
      </c>
      <c r="U6" s="40" t="s">
        <v>122</v>
      </c>
      <c r="V6" s="40"/>
    </row>
    <row r="7" spans="1:22" ht="24" x14ac:dyDescent="0.55000000000000004">
      <c r="A7" s="45" t="s">
        <v>1226</v>
      </c>
      <c r="B7" s="45" t="s">
        <v>1227</v>
      </c>
      <c r="C7" s="45" t="s">
        <v>327</v>
      </c>
      <c r="D7" s="45" t="s">
        <v>384</v>
      </c>
      <c r="E7" s="45" t="s">
        <v>391</v>
      </c>
      <c r="F7" s="45" t="s">
        <v>892</v>
      </c>
      <c r="G7" s="45" t="s">
        <v>877</v>
      </c>
      <c r="H7" s="45" t="s">
        <v>446</v>
      </c>
      <c r="I7" s="45" t="s">
        <v>513</v>
      </c>
      <c r="J7" s="45" t="s">
        <v>123</v>
      </c>
      <c r="K7" s="45" t="s">
        <v>373</v>
      </c>
      <c r="L7" s="45" t="s">
        <v>353</v>
      </c>
      <c r="M7" s="45" t="s">
        <v>367</v>
      </c>
      <c r="N7" s="45" t="s">
        <v>345</v>
      </c>
      <c r="O7" s="45" t="s">
        <v>122</v>
      </c>
      <c r="P7" s="45" t="s">
        <v>123</v>
      </c>
      <c r="Q7" s="45" t="s">
        <v>123</v>
      </c>
      <c r="R7" s="45" t="s">
        <v>1228</v>
      </c>
      <c r="S7" s="40" t="s">
        <v>131</v>
      </c>
      <c r="T7" s="40" t="s">
        <v>132</v>
      </c>
      <c r="U7" s="40" t="s">
        <v>122</v>
      </c>
      <c r="V7" s="40"/>
    </row>
    <row r="8" spans="1:22" ht="24" x14ac:dyDescent="0.55000000000000004">
      <c r="A8" s="45" t="s">
        <v>1229</v>
      </c>
      <c r="B8" s="45" t="s">
        <v>1230</v>
      </c>
      <c r="C8" s="45" t="s">
        <v>327</v>
      </c>
      <c r="D8" s="45" t="s">
        <v>384</v>
      </c>
      <c r="E8" s="45" t="s">
        <v>391</v>
      </c>
      <c r="F8" s="45" t="s">
        <v>892</v>
      </c>
      <c r="G8" s="45" t="s">
        <v>877</v>
      </c>
      <c r="H8" s="45" t="s">
        <v>446</v>
      </c>
      <c r="I8" s="45" t="s">
        <v>513</v>
      </c>
      <c r="J8" s="45" t="s">
        <v>946</v>
      </c>
      <c r="K8" s="45" t="s">
        <v>373</v>
      </c>
      <c r="L8" s="45" t="s">
        <v>353</v>
      </c>
      <c r="M8" s="45" t="s">
        <v>367</v>
      </c>
      <c r="N8" s="45" t="s">
        <v>345</v>
      </c>
      <c r="O8" s="45" t="s">
        <v>122</v>
      </c>
      <c r="P8" s="45" t="s">
        <v>123</v>
      </c>
      <c r="Q8" s="45" t="s">
        <v>123</v>
      </c>
      <c r="R8" s="45" t="s">
        <v>1231</v>
      </c>
      <c r="S8" s="40" t="s">
        <v>131</v>
      </c>
      <c r="T8" s="40" t="s">
        <v>132</v>
      </c>
      <c r="U8" s="40" t="s">
        <v>122</v>
      </c>
      <c r="V8" s="40"/>
    </row>
    <row r="9" spans="1:22" ht="24" x14ac:dyDescent="0.55000000000000004">
      <c r="A9" s="45" t="s">
        <v>1232</v>
      </c>
      <c r="B9" s="45" t="s">
        <v>1233</v>
      </c>
      <c r="C9" s="45" t="s">
        <v>327</v>
      </c>
      <c r="D9" s="45" t="s">
        <v>384</v>
      </c>
      <c r="E9" s="45" t="s">
        <v>391</v>
      </c>
      <c r="F9" s="45" t="s">
        <v>892</v>
      </c>
      <c r="G9" s="45" t="s">
        <v>1234</v>
      </c>
      <c r="H9" s="45" t="s">
        <v>446</v>
      </c>
      <c r="I9" s="45" t="s">
        <v>513</v>
      </c>
      <c r="J9" s="45" t="s">
        <v>123</v>
      </c>
      <c r="K9" s="45" t="s">
        <v>373</v>
      </c>
      <c r="L9" s="45" t="s">
        <v>353</v>
      </c>
      <c r="M9" s="45" t="s">
        <v>367</v>
      </c>
      <c r="N9" s="45" t="s">
        <v>345</v>
      </c>
      <c r="O9" s="45" t="s">
        <v>122</v>
      </c>
      <c r="P9" s="45" t="s">
        <v>123</v>
      </c>
      <c r="Q9" s="45" t="s">
        <v>123</v>
      </c>
      <c r="R9" s="45" t="s">
        <v>1235</v>
      </c>
      <c r="S9" s="40" t="s">
        <v>131</v>
      </c>
      <c r="T9" s="40" t="s">
        <v>132</v>
      </c>
      <c r="U9" s="40" t="s">
        <v>122</v>
      </c>
      <c r="V9" s="40"/>
    </row>
    <row r="10" spans="1:22" ht="24" x14ac:dyDescent="0.55000000000000004">
      <c r="A10" s="45" t="s">
        <v>1236</v>
      </c>
      <c r="B10" s="45" t="s">
        <v>1237</v>
      </c>
      <c r="C10" s="45" t="s">
        <v>327</v>
      </c>
      <c r="D10" s="45" t="s">
        <v>384</v>
      </c>
      <c r="E10" s="45" t="s">
        <v>397</v>
      </c>
      <c r="F10" s="45" t="s">
        <v>892</v>
      </c>
      <c r="G10" s="45" t="s">
        <v>877</v>
      </c>
      <c r="H10" s="45" t="s">
        <v>446</v>
      </c>
      <c r="I10" s="45" t="s">
        <v>513</v>
      </c>
      <c r="J10" s="45" t="s">
        <v>123</v>
      </c>
      <c r="K10" s="45" t="s">
        <v>373</v>
      </c>
      <c r="L10" s="45" t="s">
        <v>353</v>
      </c>
      <c r="M10" s="45" t="s">
        <v>367</v>
      </c>
      <c r="N10" s="45" t="s">
        <v>345</v>
      </c>
      <c r="O10" s="45" t="s">
        <v>122</v>
      </c>
      <c r="P10" s="45" t="s">
        <v>123</v>
      </c>
      <c r="Q10" s="45" t="s">
        <v>123</v>
      </c>
      <c r="R10" s="45" t="s">
        <v>1238</v>
      </c>
      <c r="S10" s="40" t="s">
        <v>131</v>
      </c>
      <c r="T10" s="40" t="s">
        <v>132</v>
      </c>
      <c r="U10" s="40" t="s">
        <v>122</v>
      </c>
      <c r="V10" s="40"/>
    </row>
    <row r="11" spans="1:22" ht="24" x14ac:dyDescent="0.55000000000000004">
      <c r="A11" s="45" t="s">
        <v>1239</v>
      </c>
      <c r="B11" s="45" t="s">
        <v>1240</v>
      </c>
      <c r="C11" s="45" t="s">
        <v>327</v>
      </c>
      <c r="D11" s="45" t="s">
        <v>384</v>
      </c>
      <c r="E11" s="45" t="s">
        <v>397</v>
      </c>
      <c r="F11" s="45" t="s">
        <v>892</v>
      </c>
      <c r="G11" s="45" t="s">
        <v>1234</v>
      </c>
      <c r="H11" s="45" t="s">
        <v>446</v>
      </c>
      <c r="I11" s="45" t="s">
        <v>513</v>
      </c>
      <c r="J11" s="45" t="s">
        <v>123</v>
      </c>
      <c r="K11" s="45" t="s">
        <v>373</v>
      </c>
      <c r="L11" s="45" t="s">
        <v>353</v>
      </c>
      <c r="M11" s="45" t="s">
        <v>367</v>
      </c>
      <c r="N11" s="45" t="s">
        <v>345</v>
      </c>
      <c r="O11" s="45" t="s">
        <v>122</v>
      </c>
      <c r="P11" s="45" t="s">
        <v>123</v>
      </c>
      <c r="Q11" s="45" t="s">
        <v>123</v>
      </c>
      <c r="R11" s="45" t="s">
        <v>1241</v>
      </c>
      <c r="S11" s="40" t="s">
        <v>131</v>
      </c>
      <c r="T11" s="40" t="s">
        <v>132</v>
      </c>
      <c r="U11" s="40" t="s">
        <v>122</v>
      </c>
      <c r="V11" s="40"/>
    </row>
    <row r="12" spans="1:22" ht="24" x14ac:dyDescent="0.55000000000000004">
      <c r="A12" s="45" t="s">
        <v>1242</v>
      </c>
      <c r="B12" s="45" t="s">
        <v>1243</v>
      </c>
      <c r="C12" s="45" t="s">
        <v>327</v>
      </c>
      <c r="D12" s="45" t="s">
        <v>384</v>
      </c>
      <c r="E12" s="45" t="s">
        <v>397</v>
      </c>
      <c r="F12" s="45" t="s">
        <v>892</v>
      </c>
      <c r="G12" s="45" t="s">
        <v>877</v>
      </c>
      <c r="H12" s="45" t="s">
        <v>446</v>
      </c>
      <c r="I12" s="45" t="s">
        <v>513</v>
      </c>
      <c r="J12" s="45" t="s">
        <v>123</v>
      </c>
      <c r="K12" s="45" t="s">
        <v>373</v>
      </c>
      <c r="L12" s="45" t="s">
        <v>353</v>
      </c>
      <c r="M12" s="45" t="s">
        <v>367</v>
      </c>
      <c r="N12" s="45" t="s">
        <v>345</v>
      </c>
      <c r="O12" s="45" t="s">
        <v>122</v>
      </c>
      <c r="P12" s="45" t="s">
        <v>123</v>
      </c>
      <c r="Q12" s="45" t="s">
        <v>123</v>
      </c>
      <c r="R12" s="45" t="s">
        <v>1244</v>
      </c>
      <c r="S12" s="40" t="s">
        <v>131</v>
      </c>
      <c r="T12" s="40" t="s">
        <v>132</v>
      </c>
      <c r="U12" s="40" t="s">
        <v>122</v>
      </c>
      <c r="V12" s="40"/>
    </row>
    <row r="13" spans="1:22" ht="24" x14ac:dyDescent="0.55000000000000004">
      <c r="A13" s="45" t="s">
        <v>1245</v>
      </c>
      <c r="B13" s="45" t="s">
        <v>1246</v>
      </c>
      <c r="C13" s="45" t="s">
        <v>327</v>
      </c>
      <c r="D13" s="45" t="s">
        <v>376</v>
      </c>
      <c r="E13" s="45" t="s">
        <v>377</v>
      </c>
      <c r="F13" s="45" t="s">
        <v>371</v>
      </c>
      <c r="G13" s="45" t="s">
        <v>797</v>
      </c>
      <c r="H13" s="45" t="s">
        <v>446</v>
      </c>
      <c r="I13" s="45" t="s">
        <v>513</v>
      </c>
      <c r="J13" s="45" t="s">
        <v>123</v>
      </c>
      <c r="K13" s="45" t="s">
        <v>373</v>
      </c>
      <c r="L13" s="45" t="s">
        <v>353</v>
      </c>
      <c r="M13" s="45" t="s">
        <v>367</v>
      </c>
      <c r="N13" s="45" t="s">
        <v>345</v>
      </c>
      <c r="O13" s="45" t="s">
        <v>122</v>
      </c>
      <c r="P13" s="45" t="s">
        <v>123</v>
      </c>
      <c r="Q13" s="45" t="s">
        <v>123</v>
      </c>
      <c r="R13" s="45" t="s">
        <v>1247</v>
      </c>
      <c r="S13" s="40" t="s">
        <v>131</v>
      </c>
      <c r="T13" s="40" t="s">
        <v>132</v>
      </c>
      <c r="U13" s="40" t="s">
        <v>122</v>
      </c>
      <c r="V13" s="40"/>
    </row>
    <row r="14" spans="1:22" ht="24" x14ac:dyDescent="0.55000000000000004">
      <c r="A14" s="45" t="s">
        <v>1248</v>
      </c>
      <c r="B14" s="45" t="s">
        <v>1249</v>
      </c>
      <c r="C14" s="45" t="s">
        <v>327</v>
      </c>
      <c r="D14" s="45" t="s">
        <v>376</v>
      </c>
      <c r="E14" s="45" t="s">
        <v>377</v>
      </c>
      <c r="F14" s="45" t="s">
        <v>357</v>
      </c>
      <c r="G14" s="45" t="s">
        <v>785</v>
      </c>
      <c r="H14" s="45" t="s">
        <v>446</v>
      </c>
      <c r="I14" s="45" t="s">
        <v>513</v>
      </c>
      <c r="J14" s="45" t="s">
        <v>123</v>
      </c>
      <c r="K14" s="45" t="s">
        <v>373</v>
      </c>
      <c r="L14" s="45" t="s">
        <v>353</v>
      </c>
      <c r="M14" s="45" t="s">
        <v>367</v>
      </c>
      <c r="N14" s="45" t="s">
        <v>345</v>
      </c>
      <c r="O14" s="45" t="s">
        <v>122</v>
      </c>
      <c r="P14" s="45" t="s">
        <v>123</v>
      </c>
      <c r="Q14" s="45" t="s">
        <v>123</v>
      </c>
      <c r="R14" s="45" t="s">
        <v>1250</v>
      </c>
      <c r="S14" s="40" t="s">
        <v>131</v>
      </c>
      <c r="T14" s="40" t="s">
        <v>132</v>
      </c>
      <c r="U14" s="40" t="s">
        <v>122</v>
      </c>
      <c r="V14" s="40"/>
    </row>
    <row r="15" spans="1:22" ht="24" x14ac:dyDescent="0.55000000000000004">
      <c r="A15" s="45" t="s">
        <v>1251</v>
      </c>
      <c r="B15" s="45" t="s">
        <v>1252</v>
      </c>
      <c r="C15" s="45" t="s">
        <v>327</v>
      </c>
      <c r="D15" s="45" t="s">
        <v>384</v>
      </c>
      <c r="E15" s="45" t="s">
        <v>391</v>
      </c>
      <c r="F15" s="45" t="s">
        <v>892</v>
      </c>
      <c r="G15" s="45" t="s">
        <v>995</v>
      </c>
      <c r="H15" s="45" t="s">
        <v>446</v>
      </c>
      <c r="I15" s="45" t="s">
        <v>513</v>
      </c>
      <c r="J15" s="45" t="s">
        <v>946</v>
      </c>
      <c r="K15" s="45" t="s">
        <v>373</v>
      </c>
      <c r="L15" s="45" t="s">
        <v>353</v>
      </c>
      <c r="M15" s="45" t="s">
        <v>367</v>
      </c>
      <c r="N15" s="45" t="s">
        <v>345</v>
      </c>
      <c r="O15" s="45" t="s">
        <v>122</v>
      </c>
      <c r="P15" s="45" t="s">
        <v>123</v>
      </c>
      <c r="Q15" s="45" t="s">
        <v>123</v>
      </c>
      <c r="R15" s="45" t="s">
        <v>1253</v>
      </c>
      <c r="S15" s="40" t="s">
        <v>131</v>
      </c>
      <c r="T15" s="40" t="s">
        <v>132</v>
      </c>
      <c r="U15" s="40" t="s">
        <v>122</v>
      </c>
      <c r="V15" s="40"/>
    </row>
  </sheetData>
  <phoneticPr fontId="21" type="noConversion"/>
  <pageMargins left="0.75" right="0.75" top="1" bottom="1" header="0.5" footer="0.5"/>
  <pageSetup paperSize="9" orientation="portrait" horizontalDpi="0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92D050"/>
  </sheetPr>
  <dimension ref="A1:V6"/>
  <sheetViews>
    <sheetView workbookViewId="0">
      <pane ySplit="1" topLeftCell="A2" activePane="bottomLeft" state="frozen"/>
      <selection pane="bottomLeft" activeCell="F11" sqref="F11"/>
    </sheetView>
  </sheetViews>
  <sheetFormatPr defaultColWidth="10.85546875" defaultRowHeight="15" x14ac:dyDescent="0.25"/>
  <cols>
    <col min="2" max="2" width="48" customWidth="1"/>
  </cols>
  <sheetData>
    <row r="1" spans="1:22" ht="124.5" customHeight="1" x14ac:dyDescent="0.55000000000000004">
      <c r="A1" s="29" t="s">
        <v>1</v>
      </c>
      <c r="B1" s="29" t="s">
        <v>2</v>
      </c>
      <c r="C1" s="29" t="s">
        <v>425</v>
      </c>
      <c r="D1" s="29" t="s">
        <v>426</v>
      </c>
      <c r="E1" s="29" t="s">
        <v>427</v>
      </c>
      <c r="F1" s="29" t="s">
        <v>4</v>
      </c>
      <c r="G1" s="29" t="s">
        <v>428</v>
      </c>
      <c r="H1" s="29" t="s">
        <v>429</v>
      </c>
      <c r="I1" s="29" t="s">
        <v>5</v>
      </c>
      <c r="J1" s="29" t="s">
        <v>430</v>
      </c>
      <c r="K1" s="29" t="s">
        <v>6</v>
      </c>
      <c r="L1" s="29" t="s">
        <v>431</v>
      </c>
      <c r="M1" s="29" t="s">
        <v>432</v>
      </c>
      <c r="N1" s="29" t="s">
        <v>433</v>
      </c>
      <c r="O1" s="29" t="s">
        <v>115</v>
      </c>
      <c r="P1" s="29" t="s">
        <v>9</v>
      </c>
      <c r="Q1" s="29" t="s">
        <v>434</v>
      </c>
      <c r="R1" s="29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44" t="s">
        <v>1254</v>
      </c>
      <c r="B2" s="44" t="s">
        <v>1255</v>
      </c>
      <c r="C2" s="44" t="s">
        <v>411</v>
      </c>
      <c r="D2" s="44" t="s">
        <v>384</v>
      </c>
      <c r="E2" s="44" t="s">
        <v>391</v>
      </c>
      <c r="F2" s="44" t="s">
        <v>349</v>
      </c>
      <c r="G2" s="44" t="s">
        <v>1256</v>
      </c>
      <c r="H2" s="44" t="s">
        <v>333</v>
      </c>
      <c r="I2" s="44" t="s">
        <v>123</v>
      </c>
      <c r="J2" s="44" t="s">
        <v>1049</v>
      </c>
      <c r="K2" s="44" t="s">
        <v>373</v>
      </c>
      <c r="L2" s="44" t="s">
        <v>382</v>
      </c>
      <c r="M2" s="44" t="s">
        <v>1257</v>
      </c>
      <c r="N2" s="44" t="s">
        <v>354</v>
      </c>
      <c r="O2" s="44" t="s">
        <v>122</v>
      </c>
      <c r="P2" s="44" t="s">
        <v>123</v>
      </c>
      <c r="Q2" s="44" t="s">
        <v>1258</v>
      </c>
      <c r="R2" s="44" t="s">
        <v>1259</v>
      </c>
      <c r="S2" s="40" t="s">
        <v>120</v>
      </c>
      <c r="T2" s="40" t="s">
        <v>121</v>
      </c>
      <c r="U2" s="40" t="s">
        <v>122</v>
      </c>
      <c r="V2" s="40"/>
    </row>
    <row r="3" spans="1:22" ht="24" x14ac:dyDescent="0.55000000000000004">
      <c r="A3" s="44" t="s">
        <v>1260</v>
      </c>
      <c r="B3" s="44" t="s">
        <v>1261</v>
      </c>
      <c r="C3" s="44" t="s">
        <v>418</v>
      </c>
      <c r="D3" s="44" t="s">
        <v>419</v>
      </c>
      <c r="E3" s="44" t="s">
        <v>420</v>
      </c>
      <c r="F3" s="44" t="s">
        <v>349</v>
      </c>
      <c r="G3" s="44" t="s">
        <v>1165</v>
      </c>
      <c r="H3" s="44" t="s">
        <v>333</v>
      </c>
      <c r="I3" s="44" t="s">
        <v>546</v>
      </c>
      <c r="J3" s="44" t="s">
        <v>946</v>
      </c>
      <c r="K3" s="44" t="s">
        <v>373</v>
      </c>
      <c r="L3" s="44" t="s">
        <v>353</v>
      </c>
      <c r="M3" s="44" t="s">
        <v>123</v>
      </c>
      <c r="N3" s="44" t="s">
        <v>1051</v>
      </c>
      <c r="O3" s="44" t="s">
        <v>122</v>
      </c>
      <c r="P3" s="44" t="s">
        <v>123</v>
      </c>
      <c r="Q3" s="44" t="s">
        <v>123</v>
      </c>
      <c r="R3" s="44" t="s">
        <v>1262</v>
      </c>
      <c r="S3" s="40" t="s">
        <v>120</v>
      </c>
      <c r="T3" s="40" t="s">
        <v>121</v>
      </c>
      <c r="U3" s="40" t="s">
        <v>122</v>
      </c>
      <c r="V3" s="40"/>
    </row>
    <row r="4" spans="1:22" ht="24" x14ac:dyDescent="0.55000000000000004">
      <c r="A4" s="44" t="s">
        <v>1263</v>
      </c>
      <c r="B4" s="44" t="s">
        <v>1264</v>
      </c>
      <c r="C4" s="44" t="s">
        <v>327</v>
      </c>
      <c r="D4" s="44" t="s">
        <v>384</v>
      </c>
      <c r="E4" s="44" t="s">
        <v>385</v>
      </c>
      <c r="F4" s="44" t="s">
        <v>1265</v>
      </c>
      <c r="G4" s="44" t="s">
        <v>1256</v>
      </c>
      <c r="H4" s="44" t="s">
        <v>342</v>
      </c>
      <c r="I4" s="44" t="s">
        <v>1266</v>
      </c>
      <c r="J4" s="44" t="s">
        <v>123</v>
      </c>
      <c r="K4" s="44" t="s">
        <v>373</v>
      </c>
      <c r="L4" s="44" t="s">
        <v>360</v>
      </c>
      <c r="M4" s="44" t="s">
        <v>1267</v>
      </c>
      <c r="N4" s="44" t="s">
        <v>1103</v>
      </c>
      <c r="O4" s="44" t="s">
        <v>122</v>
      </c>
      <c r="P4" s="44" t="s">
        <v>123</v>
      </c>
      <c r="Q4" s="44" t="s">
        <v>1268</v>
      </c>
      <c r="R4" s="44" t="s">
        <v>1269</v>
      </c>
      <c r="S4" s="40" t="s">
        <v>120</v>
      </c>
      <c r="T4" s="40" t="s">
        <v>121</v>
      </c>
      <c r="U4" s="40" t="s">
        <v>122</v>
      </c>
      <c r="V4" s="40"/>
    </row>
    <row r="5" spans="1:22" ht="24" x14ac:dyDescent="0.55000000000000004">
      <c r="A5" s="45" t="s">
        <v>1270</v>
      </c>
      <c r="B5" s="45" t="s">
        <v>1271</v>
      </c>
      <c r="C5" s="45" t="s">
        <v>327</v>
      </c>
      <c r="D5" s="45" t="s">
        <v>376</v>
      </c>
      <c r="E5" s="45" t="s">
        <v>377</v>
      </c>
      <c r="F5" s="45" t="s">
        <v>892</v>
      </c>
      <c r="G5" s="45" t="s">
        <v>1234</v>
      </c>
      <c r="H5" s="45" t="s">
        <v>446</v>
      </c>
      <c r="I5" s="45" t="s">
        <v>513</v>
      </c>
      <c r="J5" s="45" t="s">
        <v>1272</v>
      </c>
      <c r="K5" s="45" t="s">
        <v>373</v>
      </c>
      <c r="L5" s="45" t="s">
        <v>353</v>
      </c>
      <c r="M5" s="45" t="s">
        <v>367</v>
      </c>
      <c r="N5" s="45" t="s">
        <v>345</v>
      </c>
      <c r="O5" s="45" t="s">
        <v>122</v>
      </c>
      <c r="P5" s="45" t="s">
        <v>123</v>
      </c>
      <c r="Q5" s="45" t="s">
        <v>123</v>
      </c>
      <c r="R5" s="45" t="s">
        <v>1273</v>
      </c>
      <c r="S5" s="40" t="s">
        <v>131</v>
      </c>
      <c r="T5" s="40" t="s">
        <v>132</v>
      </c>
      <c r="U5" s="40" t="s">
        <v>122</v>
      </c>
      <c r="V5" s="40"/>
    </row>
    <row r="6" spans="1:22" ht="24" x14ac:dyDescent="0.55000000000000004">
      <c r="A6" s="45" t="s">
        <v>1274</v>
      </c>
      <c r="B6" s="45" t="s">
        <v>1275</v>
      </c>
      <c r="C6" s="45" t="s">
        <v>327</v>
      </c>
      <c r="D6" s="45" t="s">
        <v>384</v>
      </c>
      <c r="E6" s="45" t="s">
        <v>391</v>
      </c>
      <c r="F6" s="45" t="s">
        <v>892</v>
      </c>
      <c r="G6" s="45" t="s">
        <v>1234</v>
      </c>
      <c r="H6" s="45" t="s">
        <v>446</v>
      </c>
      <c r="I6" s="45" t="s">
        <v>513</v>
      </c>
      <c r="J6" s="45" t="s">
        <v>946</v>
      </c>
      <c r="K6" s="45" t="s">
        <v>373</v>
      </c>
      <c r="L6" s="45" t="s">
        <v>353</v>
      </c>
      <c r="M6" s="45" t="s">
        <v>367</v>
      </c>
      <c r="N6" s="45" t="s">
        <v>345</v>
      </c>
      <c r="O6" s="45" t="s">
        <v>122</v>
      </c>
      <c r="P6" s="45" t="s">
        <v>123</v>
      </c>
      <c r="Q6" s="45" t="s">
        <v>123</v>
      </c>
      <c r="R6" s="45" t="s">
        <v>1276</v>
      </c>
      <c r="S6" s="40" t="s">
        <v>131</v>
      </c>
      <c r="T6" s="40" t="s">
        <v>132</v>
      </c>
      <c r="U6" s="40" t="s">
        <v>122</v>
      </c>
      <c r="V6" s="40"/>
    </row>
  </sheetData>
  <phoneticPr fontId="21" type="noConversion"/>
  <pageMargins left="0.75" right="0.75" top="1" bottom="1" header="0.5" footer="0.5"/>
  <pageSetup paperSize="9"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92D050"/>
  </sheetPr>
  <dimension ref="A1:V4"/>
  <sheetViews>
    <sheetView workbookViewId="0">
      <pane ySplit="1" topLeftCell="A2" activePane="bottomLeft" state="frozen"/>
      <selection pane="bottomLeft" activeCell="D13" sqref="D13"/>
    </sheetView>
  </sheetViews>
  <sheetFormatPr defaultColWidth="10.85546875" defaultRowHeight="15" x14ac:dyDescent="0.25"/>
  <cols>
    <col min="2" max="2" width="47.42578125" customWidth="1"/>
  </cols>
  <sheetData>
    <row r="1" spans="1:22" ht="124.5" customHeight="1" x14ac:dyDescent="0.55000000000000004">
      <c r="A1" s="29" t="s">
        <v>1</v>
      </c>
      <c r="B1" s="29" t="s">
        <v>2</v>
      </c>
      <c r="C1" s="29" t="s">
        <v>425</v>
      </c>
      <c r="D1" s="29" t="s">
        <v>426</v>
      </c>
      <c r="E1" s="29" t="s">
        <v>427</v>
      </c>
      <c r="F1" s="29" t="s">
        <v>4</v>
      </c>
      <c r="G1" s="29" t="s">
        <v>428</v>
      </c>
      <c r="H1" s="29" t="s">
        <v>429</v>
      </c>
      <c r="I1" s="29" t="s">
        <v>5</v>
      </c>
      <c r="J1" s="29" t="s">
        <v>430</v>
      </c>
      <c r="K1" s="29" t="s">
        <v>6</v>
      </c>
      <c r="L1" s="29" t="s">
        <v>431</v>
      </c>
      <c r="M1" s="29" t="s">
        <v>432</v>
      </c>
      <c r="N1" s="29" t="s">
        <v>433</v>
      </c>
      <c r="O1" s="29" t="s">
        <v>115</v>
      </c>
      <c r="P1" s="29" t="s">
        <v>9</v>
      </c>
      <c r="Q1" s="29" t="s">
        <v>434</v>
      </c>
      <c r="R1" s="29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ht="24" x14ac:dyDescent="0.55000000000000004">
      <c r="A2" s="44" t="s">
        <v>1277</v>
      </c>
      <c r="B2" s="44" t="s">
        <v>1278</v>
      </c>
      <c r="C2" s="44" t="s">
        <v>327</v>
      </c>
      <c r="D2" s="44" t="s">
        <v>408</v>
      </c>
      <c r="E2" s="44" t="s">
        <v>409</v>
      </c>
      <c r="F2" s="44" t="s">
        <v>1279</v>
      </c>
      <c r="G2" s="44" t="s">
        <v>1047</v>
      </c>
      <c r="H2" s="44" t="s">
        <v>342</v>
      </c>
      <c r="I2" s="44" t="s">
        <v>1280</v>
      </c>
      <c r="J2" s="44" t="s">
        <v>123</v>
      </c>
      <c r="K2" s="44" t="s">
        <v>373</v>
      </c>
      <c r="L2" s="44" t="s">
        <v>353</v>
      </c>
      <c r="M2" s="44" t="s">
        <v>1281</v>
      </c>
      <c r="N2" s="44" t="s">
        <v>1103</v>
      </c>
      <c r="O2" s="44" t="s">
        <v>122</v>
      </c>
      <c r="P2" s="44" t="s">
        <v>123</v>
      </c>
      <c r="Q2" s="44" t="s">
        <v>1282</v>
      </c>
      <c r="R2" s="44" t="s">
        <v>1283</v>
      </c>
      <c r="S2" s="40" t="s">
        <v>120</v>
      </c>
      <c r="T2" s="40" t="s">
        <v>121</v>
      </c>
      <c r="U2" s="40" t="s">
        <v>122</v>
      </c>
      <c r="V2" s="40"/>
    </row>
    <row r="3" spans="1:22" ht="24" x14ac:dyDescent="0.55000000000000004">
      <c r="A3" s="44" t="s">
        <v>1284</v>
      </c>
      <c r="B3" s="44" t="s">
        <v>1285</v>
      </c>
      <c r="C3" s="44" t="s">
        <v>411</v>
      </c>
      <c r="D3" s="44" t="s">
        <v>376</v>
      </c>
      <c r="E3" s="44" t="s">
        <v>377</v>
      </c>
      <c r="F3" s="44" t="s">
        <v>349</v>
      </c>
      <c r="G3" s="44" t="s">
        <v>341</v>
      </c>
      <c r="H3" s="44" t="s">
        <v>333</v>
      </c>
      <c r="I3" s="44" t="s">
        <v>1286</v>
      </c>
      <c r="J3" s="44" t="s">
        <v>1287</v>
      </c>
      <c r="K3" s="44" t="s">
        <v>373</v>
      </c>
      <c r="L3" s="44" t="s">
        <v>353</v>
      </c>
      <c r="M3" s="44" t="s">
        <v>123</v>
      </c>
      <c r="N3" s="44" t="s">
        <v>789</v>
      </c>
      <c r="O3" s="44" t="s">
        <v>122</v>
      </c>
      <c r="P3" s="44" t="s">
        <v>123</v>
      </c>
      <c r="Q3" s="44" t="s">
        <v>123</v>
      </c>
      <c r="R3" s="44" t="s">
        <v>123</v>
      </c>
      <c r="S3" s="40" t="s">
        <v>120</v>
      </c>
      <c r="T3" s="40" t="s">
        <v>121</v>
      </c>
      <c r="U3" s="40" t="s">
        <v>122</v>
      </c>
      <c r="V3" s="40"/>
    </row>
    <row r="4" spans="1:22" ht="24" x14ac:dyDescent="0.55000000000000004">
      <c r="A4" s="44" t="s">
        <v>1288</v>
      </c>
      <c r="B4" s="44" t="s">
        <v>1289</v>
      </c>
      <c r="C4" s="44" t="s">
        <v>327</v>
      </c>
      <c r="D4" s="44" t="s">
        <v>328</v>
      </c>
      <c r="E4" s="44" t="s">
        <v>338</v>
      </c>
      <c r="F4" s="44" t="s">
        <v>364</v>
      </c>
      <c r="G4" s="44" t="s">
        <v>1158</v>
      </c>
      <c r="H4" s="44" t="s">
        <v>342</v>
      </c>
      <c r="I4" s="44" t="s">
        <v>1280</v>
      </c>
      <c r="J4" s="44" t="s">
        <v>1178</v>
      </c>
      <c r="K4" s="44" t="s">
        <v>381</v>
      </c>
      <c r="L4" s="44" t="s">
        <v>360</v>
      </c>
      <c r="M4" s="44" t="s">
        <v>1290</v>
      </c>
      <c r="N4" s="44" t="s">
        <v>1180</v>
      </c>
      <c r="O4" s="44" t="s">
        <v>122</v>
      </c>
      <c r="P4" s="44" t="s">
        <v>123</v>
      </c>
      <c r="Q4" s="44" t="s">
        <v>1291</v>
      </c>
      <c r="R4" s="44" t="s">
        <v>1292</v>
      </c>
      <c r="S4" s="40" t="s">
        <v>120</v>
      </c>
      <c r="T4" s="40" t="s">
        <v>121</v>
      </c>
      <c r="U4" s="40" t="s">
        <v>122</v>
      </c>
      <c r="V4" s="40"/>
    </row>
  </sheetData>
  <pageMargins left="0.75" right="0.75" top="1" bottom="1" header="0.5" footer="0.5"/>
  <pageSetup paperSize="9" orientation="portrait" horizontalDpi="0" verticalDpi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6D78-050B-4A3B-A3B6-C5FAC3493F3E}">
  <sheetPr>
    <tabColor rgb="FF92D050"/>
    <pageSetUpPr fitToPage="1"/>
  </sheetPr>
  <dimension ref="A1:V11"/>
  <sheetViews>
    <sheetView zoomScale="112" zoomScaleNormal="112" workbookViewId="0">
      <pane ySplit="1" topLeftCell="A2" activePane="bottomLeft" state="frozen"/>
      <selection activeCell="E419" sqref="E419"/>
      <selection pane="bottomLeft" activeCell="O12" sqref="O12"/>
    </sheetView>
  </sheetViews>
  <sheetFormatPr defaultColWidth="10.85546875" defaultRowHeight="24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429</v>
      </c>
      <c r="H1" s="24" t="s">
        <v>543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x14ac:dyDescent="0.55000000000000004">
      <c r="A2" s="1" t="s">
        <v>1293</v>
      </c>
      <c r="B2" s="1" t="s">
        <v>1294</v>
      </c>
      <c r="C2" s="1" t="s">
        <v>327</v>
      </c>
      <c r="D2" s="1" t="s">
        <v>384</v>
      </c>
      <c r="E2" s="1" t="s">
        <v>397</v>
      </c>
      <c r="F2" s="1" t="s">
        <v>364</v>
      </c>
      <c r="G2" s="1" t="s">
        <v>821</v>
      </c>
      <c r="H2" s="1" t="s">
        <v>446</v>
      </c>
      <c r="I2" s="1" t="s">
        <v>513</v>
      </c>
      <c r="J2" s="1" t="s">
        <v>123</v>
      </c>
      <c r="K2" s="1" t="s">
        <v>373</v>
      </c>
      <c r="L2" s="1" t="s">
        <v>353</v>
      </c>
      <c r="M2" s="1" t="s">
        <v>367</v>
      </c>
      <c r="N2" s="1" t="s">
        <v>345</v>
      </c>
      <c r="O2" s="1" t="s">
        <v>122</v>
      </c>
      <c r="P2" s="1" t="s">
        <v>123</v>
      </c>
      <c r="Q2" s="1" t="s">
        <v>123</v>
      </c>
      <c r="R2" s="1" t="s">
        <v>1295</v>
      </c>
      <c r="S2" s="40" t="s">
        <v>131</v>
      </c>
      <c r="T2" s="40" t="s">
        <v>132</v>
      </c>
      <c r="U2" s="40" t="s">
        <v>122</v>
      </c>
      <c r="V2" s="40"/>
    </row>
    <row r="3" spans="1:22" x14ac:dyDescent="0.55000000000000004">
      <c r="A3" s="1" t="s">
        <v>1296</v>
      </c>
      <c r="B3" s="1" t="s">
        <v>1297</v>
      </c>
      <c r="C3" s="1" t="s">
        <v>327</v>
      </c>
      <c r="D3" s="1" t="s">
        <v>384</v>
      </c>
      <c r="E3" s="1" t="s">
        <v>397</v>
      </c>
      <c r="F3" s="1" t="s">
        <v>364</v>
      </c>
      <c r="G3" s="1" t="s">
        <v>785</v>
      </c>
      <c r="H3" s="1" t="s">
        <v>446</v>
      </c>
      <c r="I3" s="1" t="s">
        <v>513</v>
      </c>
      <c r="J3" s="1" t="s">
        <v>123</v>
      </c>
      <c r="K3" s="1" t="s">
        <v>373</v>
      </c>
      <c r="L3" s="1" t="s">
        <v>353</v>
      </c>
      <c r="M3" s="1" t="s">
        <v>367</v>
      </c>
      <c r="N3" s="1" t="s">
        <v>345</v>
      </c>
      <c r="O3" s="1" t="s">
        <v>122</v>
      </c>
      <c r="P3" s="1" t="s">
        <v>123</v>
      </c>
      <c r="Q3" s="1" t="s">
        <v>123</v>
      </c>
      <c r="R3" s="1" t="s">
        <v>1298</v>
      </c>
      <c r="S3" s="40" t="s">
        <v>131</v>
      </c>
      <c r="T3" s="40" t="s">
        <v>132</v>
      </c>
      <c r="U3" s="40" t="s">
        <v>122</v>
      </c>
      <c r="V3" s="40"/>
    </row>
    <row r="4" spans="1:22" x14ac:dyDescent="0.55000000000000004">
      <c r="A4" s="1" t="s">
        <v>1299</v>
      </c>
      <c r="B4" s="1" t="s">
        <v>1300</v>
      </c>
      <c r="C4" s="1" t="s">
        <v>327</v>
      </c>
      <c r="D4" s="1" t="s">
        <v>384</v>
      </c>
      <c r="E4" s="1" t="s">
        <v>391</v>
      </c>
      <c r="F4" s="1" t="s">
        <v>357</v>
      </c>
      <c r="G4" s="1" t="s">
        <v>1301</v>
      </c>
      <c r="H4" s="1" t="s">
        <v>446</v>
      </c>
      <c r="I4" s="1" t="s">
        <v>513</v>
      </c>
      <c r="J4" s="1" t="s">
        <v>1302</v>
      </c>
      <c r="K4" s="1" t="s">
        <v>373</v>
      </c>
      <c r="L4" s="1" t="s">
        <v>353</v>
      </c>
      <c r="M4" s="1" t="s">
        <v>367</v>
      </c>
      <c r="N4" s="1" t="s">
        <v>345</v>
      </c>
      <c r="O4" s="1" t="s">
        <v>122</v>
      </c>
      <c r="P4" s="23" t="s">
        <v>123</v>
      </c>
      <c r="Q4" s="1" t="s">
        <v>123</v>
      </c>
      <c r="R4" s="1" t="s">
        <v>1303</v>
      </c>
      <c r="S4" s="40" t="s">
        <v>131</v>
      </c>
      <c r="T4" s="40" t="s">
        <v>132</v>
      </c>
      <c r="U4" s="40" t="s">
        <v>122</v>
      </c>
      <c r="V4" s="40"/>
    </row>
    <row r="5" spans="1:22" x14ac:dyDescent="0.55000000000000004">
      <c r="A5" s="1" t="s">
        <v>1304</v>
      </c>
      <c r="B5" s="1" t="s">
        <v>1305</v>
      </c>
      <c r="C5" s="1" t="s">
        <v>327</v>
      </c>
      <c r="D5" s="1" t="s">
        <v>384</v>
      </c>
      <c r="E5" s="1" t="s">
        <v>397</v>
      </c>
      <c r="F5" s="1" t="s">
        <v>357</v>
      </c>
      <c r="G5" s="1" t="s">
        <v>797</v>
      </c>
      <c r="H5" s="1" t="s">
        <v>446</v>
      </c>
      <c r="I5" s="1" t="s">
        <v>513</v>
      </c>
      <c r="J5" s="1" t="s">
        <v>123</v>
      </c>
      <c r="K5" s="1" t="s">
        <v>373</v>
      </c>
      <c r="L5" s="1" t="s">
        <v>353</v>
      </c>
      <c r="M5" s="1" t="s">
        <v>367</v>
      </c>
      <c r="N5" s="1" t="s">
        <v>345</v>
      </c>
      <c r="O5" s="1" t="s">
        <v>122</v>
      </c>
      <c r="P5" s="23" t="s">
        <v>123</v>
      </c>
      <c r="Q5" s="1" t="s">
        <v>123</v>
      </c>
      <c r="R5" s="1" t="s">
        <v>1306</v>
      </c>
      <c r="S5" s="40" t="s">
        <v>131</v>
      </c>
      <c r="T5" s="40" t="s">
        <v>132</v>
      </c>
      <c r="U5" s="40" t="s">
        <v>122</v>
      </c>
      <c r="V5" s="40"/>
    </row>
    <row r="6" spans="1:22" x14ac:dyDescent="0.55000000000000004">
      <c r="A6" s="1" t="s">
        <v>1307</v>
      </c>
      <c r="B6" s="1" t="s">
        <v>1308</v>
      </c>
      <c r="C6" s="1" t="s">
        <v>327</v>
      </c>
      <c r="D6" s="1" t="s">
        <v>384</v>
      </c>
      <c r="E6" s="1" t="s">
        <v>397</v>
      </c>
      <c r="F6" s="1" t="s">
        <v>357</v>
      </c>
      <c r="G6" s="1" t="s">
        <v>797</v>
      </c>
      <c r="H6" s="1" t="s">
        <v>446</v>
      </c>
      <c r="I6" s="1" t="s">
        <v>513</v>
      </c>
      <c r="J6" s="1" t="s">
        <v>123</v>
      </c>
      <c r="K6" s="1" t="s">
        <v>373</v>
      </c>
      <c r="L6" s="1" t="s">
        <v>353</v>
      </c>
      <c r="M6" s="1" t="s">
        <v>367</v>
      </c>
      <c r="N6" s="1" t="s">
        <v>345</v>
      </c>
      <c r="O6" s="1" t="s">
        <v>122</v>
      </c>
      <c r="P6" s="23" t="s">
        <v>123</v>
      </c>
      <c r="Q6" s="1" t="s">
        <v>123</v>
      </c>
      <c r="R6" s="1" t="s">
        <v>1309</v>
      </c>
      <c r="S6" s="40" t="s">
        <v>131</v>
      </c>
      <c r="T6" s="40" t="s">
        <v>132</v>
      </c>
      <c r="U6" s="40" t="s">
        <v>122</v>
      </c>
      <c r="V6" s="40"/>
    </row>
    <row r="7" spans="1:22" x14ac:dyDescent="0.55000000000000004">
      <c r="A7" s="1" t="s">
        <v>1310</v>
      </c>
      <c r="B7" s="1" t="s">
        <v>1311</v>
      </c>
      <c r="C7" s="1" t="s">
        <v>327</v>
      </c>
      <c r="D7" s="1" t="s">
        <v>384</v>
      </c>
      <c r="E7" s="1" t="s">
        <v>397</v>
      </c>
      <c r="F7" s="1" t="s">
        <v>364</v>
      </c>
      <c r="G7" s="1" t="s">
        <v>797</v>
      </c>
      <c r="H7" s="1" t="s">
        <v>446</v>
      </c>
      <c r="I7" s="1" t="s">
        <v>513</v>
      </c>
      <c r="J7" s="1" t="s">
        <v>123</v>
      </c>
      <c r="K7" s="1" t="s">
        <v>373</v>
      </c>
      <c r="L7" s="1" t="s">
        <v>353</v>
      </c>
      <c r="M7" s="1" t="s">
        <v>367</v>
      </c>
      <c r="N7" s="1" t="s">
        <v>345</v>
      </c>
      <c r="O7" s="1" t="s">
        <v>122</v>
      </c>
      <c r="P7" s="23" t="s">
        <v>123</v>
      </c>
      <c r="Q7" s="1" t="s">
        <v>123</v>
      </c>
      <c r="R7" s="1" t="s">
        <v>1312</v>
      </c>
      <c r="S7" s="40" t="s">
        <v>131</v>
      </c>
      <c r="T7" s="40" t="s">
        <v>132</v>
      </c>
      <c r="U7" s="40" t="s">
        <v>122</v>
      </c>
      <c r="V7" s="40"/>
    </row>
    <row r="8" spans="1:22" x14ac:dyDescent="0.55000000000000004">
      <c r="A8" s="1" t="s">
        <v>1313</v>
      </c>
      <c r="B8" s="1" t="s">
        <v>1314</v>
      </c>
      <c r="C8" s="1" t="s">
        <v>327</v>
      </c>
      <c r="D8" s="1" t="s">
        <v>384</v>
      </c>
      <c r="E8" s="1" t="s">
        <v>397</v>
      </c>
      <c r="F8" s="1" t="s">
        <v>371</v>
      </c>
      <c r="G8" s="1" t="s">
        <v>797</v>
      </c>
      <c r="H8" s="1" t="s">
        <v>446</v>
      </c>
      <c r="I8" s="1" t="s">
        <v>513</v>
      </c>
      <c r="J8" s="1" t="s">
        <v>123</v>
      </c>
      <c r="K8" s="1" t="s">
        <v>373</v>
      </c>
      <c r="L8" s="1" t="s">
        <v>353</v>
      </c>
      <c r="M8" s="1" t="s">
        <v>367</v>
      </c>
      <c r="N8" s="1" t="s">
        <v>345</v>
      </c>
      <c r="O8" s="1" t="s">
        <v>122</v>
      </c>
      <c r="P8" s="1" t="s">
        <v>123</v>
      </c>
      <c r="Q8" s="1" t="s">
        <v>123</v>
      </c>
      <c r="R8" s="1" t="s">
        <v>1315</v>
      </c>
      <c r="S8" s="40" t="s">
        <v>131</v>
      </c>
      <c r="T8" s="40" t="s">
        <v>132</v>
      </c>
      <c r="U8" s="40" t="s">
        <v>122</v>
      </c>
      <c r="V8" s="40"/>
    </row>
    <row r="9" spans="1:22" x14ac:dyDescent="0.55000000000000004">
      <c r="A9" s="1" t="s">
        <v>1316</v>
      </c>
      <c r="B9" s="1" t="s">
        <v>1317</v>
      </c>
      <c r="C9" s="1" t="s">
        <v>327</v>
      </c>
      <c r="D9" s="1" t="s">
        <v>384</v>
      </c>
      <c r="E9" s="1" t="s">
        <v>397</v>
      </c>
      <c r="F9" s="1" t="s">
        <v>371</v>
      </c>
      <c r="G9" s="1" t="s">
        <v>797</v>
      </c>
      <c r="H9" s="1" t="s">
        <v>446</v>
      </c>
      <c r="I9" s="1" t="s">
        <v>513</v>
      </c>
      <c r="J9" s="1" t="s">
        <v>123</v>
      </c>
      <c r="K9" s="1" t="s">
        <v>373</v>
      </c>
      <c r="L9" s="1" t="s">
        <v>353</v>
      </c>
      <c r="M9" s="1" t="s">
        <v>367</v>
      </c>
      <c r="N9" s="1" t="s">
        <v>345</v>
      </c>
      <c r="O9" s="1" t="s">
        <v>122</v>
      </c>
      <c r="P9" s="1" t="s">
        <v>123</v>
      </c>
      <c r="Q9" s="1" t="s">
        <v>123</v>
      </c>
      <c r="R9" s="1" t="s">
        <v>1318</v>
      </c>
      <c r="S9" s="40" t="s">
        <v>131</v>
      </c>
      <c r="T9" s="40" t="s">
        <v>132</v>
      </c>
      <c r="U9" s="40" t="s">
        <v>122</v>
      </c>
      <c r="V9" s="40"/>
    </row>
    <row r="10" spans="1:22" x14ac:dyDescent="0.55000000000000004">
      <c r="A10" s="1" t="s">
        <v>1319</v>
      </c>
      <c r="B10" s="1" t="s">
        <v>1320</v>
      </c>
      <c r="C10" s="1" t="s">
        <v>327</v>
      </c>
      <c r="D10" s="1" t="s">
        <v>384</v>
      </c>
      <c r="E10" s="1" t="s">
        <v>397</v>
      </c>
      <c r="F10" s="1" t="s">
        <v>357</v>
      </c>
      <c r="G10" s="1" t="s">
        <v>885</v>
      </c>
      <c r="H10" s="1" t="s">
        <v>446</v>
      </c>
      <c r="I10" s="1" t="s">
        <v>513</v>
      </c>
      <c r="J10" s="1" t="s">
        <v>123</v>
      </c>
      <c r="K10" s="1" t="s">
        <v>373</v>
      </c>
      <c r="L10" s="1" t="s">
        <v>353</v>
      </c>
      <c r="M10" s="1" t="s">
        <v>367</v>
      </c>
      <c r="N10" s="1" t="s">
        <v>345</v>
      </c>
      <c r="O10" s="1" t="s">
        <v>122</v>
      </c>
      <c r="P10" s="1" t="s">
        <v>123</v>
      </c>
      <c r="Q10" s="1" t="s">
        <v>123</v>
      </c>
      <c r="R10" s="1" t="s">
        <v>1321</v>
      </c>
      <c r="S10" s="40" t="s">
        <v>131</v>
      </c>
      <c r="T10" s="40" t="s">
        <v>132</v>
      </c>
      <c r="U10" s="40" t="s">
        <v>122</v>
      </c>
      <c r="V10" s="40"/>
    </row>
    <row r="11" spans="1:22" x14ac:dyDescent="0.55000000000000004">
      <c r="A11" s="1" t="s">
        <v>1322</v>
      </c>
      <c r="B11" s="1" t="s">
        <v>1323</v>
      </c>
      <c r="C11" s="1" t="s">
        <v>327</v>
      </c>
      <c r="D11" s="1" t="s">
        <v>384</v>
      </c>
      <c r="E11" s="1" t="s">
        <v>397</v>
      </c>
      <c r="F11" s="1" t="s">
        <v>371</v>
      </c>
      <c r="G11" s="1" t="s">
        <v>785</v>
      </c>
      <c r="H11" s="1" t="s">
        <v>446</v>
      </c>
      <c r="I11" s="1" t="s">
        <v>513</v>
      </c>
      <c r="J11" s="1" t="s">
        <v>123</v>
      </c>
      <c r="K11" s="1" t="s">
        <v>373</v>
      </c>
      <c r="L11" s="1" t="s">
        <v>353</v>
      </c>
      <c r="M11" s="1" t="s">
        <v>367</v>
      </c>
      <c r="N11" s="1" t="s">
        <v>345</v>
      </c>
      <c r="O11" s="1" t="s">
        <v>122</v>
      </c>
      <c r="P11" s="1" t="s">
        <v>123</v>
      </c>
      <c r="Q11" s="1" t="s">
        <v>123</v>
      </c>
      <c r="R11" s="1" t="s">
        <v>1315</v>
      </c>
      <c r="S11" s="40" t="s">
        <v>131</v>
      </c>
      <c r="T11" s="40" t="s">
        <v>132</v>
      </c>
      <c r="U11" s="40" t="s">
        <v>122</v>
      </c>
      <c r="V11" s="40"/>
    </row>
  </sheetData>
  <phoneticPr fontId="21" type="noConversion"/>
  <pageMargins left="0.3" right="0.3" top="0.5" bottom="0.5" header="0.2" footer="0.2"/>
  <pageSetup paperSize="9" scale="38" fitToHeight="0" orientation="landscape" horizontalDpi="300" verticalDpi="300"/>
  <headerFooter>
    <oddHeader>&amp;C&amp;"TH Sarabun New,Bold"&amp;10 บัญชีรายการชุดข้อมูลพื้นฐาน — Workshop Verification</oddHeader>
    <oddFooter>&amp;L&amp;9 &amp;D&amp;R&amp;9 หน้า &amp;P /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2F9D-9578-4350-A783-457464EF3B2E}">
  <sheetPr>
    <tabColor rgb="FF92D050"/>
    <pageSetUpPr fitToPage="1"/>
  </sheetPr>
  <dimension ref="A1:V7"/>
  <sheetViews>
    <sheetView zoomScale="112" zoomScaleNormal="112" workbookViewId="0">
      <pane ySplit="1" topLeftCell="A2" activePane="bottomLeft" state="frozen"/>
      <selection activeCell="E419" sqref="E419"/>
      <selection pane="bottomLeft" activeCell="B7" sqref="B7"/>
    </sheetView>
  </sheetViews>
  <sheetFormatPr defaultColWidth="10.85546875" defaultRowHeight="24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429</v>
      </c>
      <c r="H1" s="24" t="s">
        <v>543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x14ac:dyDescent="0.55000000000000004">
      <c r="A2" s="1" t="s">
        <v>1324</v>
      </c>
      <c r="B2" s="1" t="s">
        <v>1325</v>
      </c>
      <c r="C2" s="1" t="s">
        <v>327</v>
      </c>
      <c r="D2" s="1" t="s">
        <v>384</v>
      </c>
      <c r="E2" s="1" t="s">
        <v>397</v>
      </c>
      <c r="F2" s="1" t="s">
        <v>371</v>
      </c>
      <c r="G2" s="1" t="s">
        <v>877</v>
      </c>
      <c r="H2" s="1" t="s">
        <v>446</v>
      </c>
      <c r="I2" s="1" t="s">
        <v>513</v>
      </c>
      <c r="J2" s="1" t="s">
        <v>123</v>
      </c>
      <c r="K2" s="1" t="s">
        <v>373</v>
      </c>
      <c r="L2" s="1" t="s">
        <v>353</v>
      </c>
      <c r="M2" s="1" t="s">
        <v>367</v>
      </c>
      <c r="N2" s="1" t="s">
        <v>345</v>
      </c>
      <c r="O2" s="1" t="s">
        <v>122</v>
      </c>
      <c r="P2" s="1" t="s">
        <v>123</v>
      </c>
      <c r="Q2" s="1" t="s">
        <v>123</v>
      </c>
      <c r="R2" s="1" t="s">
        <v>1326</v>
      </c>
      <c r="S2" s="40" t="s">
        <v>131</v>
      </c>
      <c r="T2" s="40" t="s">
        <v>132</v>
      </c>
      <c r="U2" s="40" t="s">
        <v>122</v>
      </c>
      <c r="V2" s="40"/>
    </row>
    <row r="3" spans="1:22" x14ac:dyDescent="0.55000000000000004">
      <c r="A3" s="1" t="s">
        <v>1327</v>
      </c>
      <c r="B3" s="1" t="s">
        <v>1328</v>
      </c>
      <c r="C3" s="1" t="s">
        <v>327</v>
      </c>
      <c r="D3" s="1" t="s">
        <v>384</v>
      </c>
      <c r="E3" s="1" t="s">
        <v>397</v>
      </c>
      <c r="F3" s="1" t="s">
        <v>892</v>
      </c>
      <c r="G3" s="1" t="s">
        <v>995</v>
      </c>
      <c r="H3" s="1" t="s">
        <v>446</v>
      </c>
      <c r="I3" s="1" t="s">
        <v>513</v>
      </c>
      <c r="J3" s="1" t="s">
        <v>123</v>
      </c>
      <c r="K3" s="1" t="s">
        <v>373</v>
      </c>
      <c r="L3" s="1" t="s">
        <v>353</v>
      </c>
      <c r="M3" s="1" t="s">
        <v>367</v>
      </c>
      <c r="N3" s="1" t="s">
        <v>345</v>
      </c>
      <c r="O3" s="1" t="s">
        <v>122</v>
      </c>
      <c r="P3" s="1" t="s">
        <v>123</v>
      </c>
      <c r="Q3" s="1" t="s">
        <v>123</v>
      </c>
      <c r="R3" s="1" t="s">
        <v>1329</v>
      </c>
      <c r="S3" s="40" t="s">
        <v>131</v>
      </c>
      <c r="T3" s="40" t="s">
        <v>132</v>
      </c>
      <c r="U3" s="40" t="s">
        <v>122</v>
      </c>
      <c r="V3" s="40"/>
    </row>
    <row r="4" spans="1:22" x14ac:dyDescent="0.55000000000000004">
      <c r="A4" s="1" t="s">
        <v>1330</v>
      </c>
      <c r="B4" s="1" t="s">
        <v>1331</v>
      </c>
      <c r="C4" s="1" t="s">
        <v>327</v>
      </c>
      <c r="D4" s="1" t="s">
        <v>384</v>
      </c>
      <c r="E4" s="1" t="s">
        <v>391</v>
      </c>
      <c r="F4" s="1" t="s">
        <v>892</v>
      </c>
      <c r="G4" s="1" t="s">
        <v>877</v>
      </c>
      <c r="H4" s="1" t="s">
        <v>446</v>
      </c>
      <c r="I4" s="1" t="s">
        <v>513</v>
      </c>
      <c r="J4" s="1" t="s">
        <v>123</v>
      </c>
      <c r="K4" s="1" t="s">
        <v>373</v>
      </c>
      <c r="L4" s="1" t="s">
        <v>353</v>
      </c>
      <c r="M4" s="1" t="s">
        <v>367</v>
      </c>
      <c r="N4" s="1" t="s">
        <v>345</v>
      </c>
      <c r="O4" s="1" t="s">
        <v>122</v>
      </c>
      <c r="P4" s="23" t="s">
        <v>123</v>
      </c>
      <c r="Q4" s="1" t="s">
        <v>123</v>
      </c>
      <c r="R4" s="1" t="s">
        <v>1332</v>
      </c>
      <c r="S4" s="40" t="s">
        <v>131</v>
      </c>
      <c r="T4" s="40" t="s">
        <v>132</v>
      </c>
      <c r="U4" s="40" t="s">
        <v>122</v>
      </c>
      <c r="V4" s="40"/>
    </row>
    <row r="5" spans="1:22" x14ac:dyDescent="0.55000000000000004">
      <c r="A5" s="1" t="s">
        <v>1333</v>
      </c>
      <c r="B5" s="1" t="s">
        <v>1334</v>
      </c>
      <c r="C5" s="1" t="s">
        <v>327</v>
      </c>
      <c r="D5" s="1" t="s">
        <v>384</v>
      </c>
      <c r="E5" s="1" t="s">
        <v>397</v>
      </c>
      <c r="F5" s="1" t="s">
        <v>371</v>
      </c>
      <c r="G5" s="1" t="s">
        <v>877</v>
      </c>
      <c r="H5" s="1" t="s">
        <v>446</v>
      </c>
      <c r="I5" s="1" t="s">
        <v>513</v>
      </c>
      <c r="J5" s="1" t="s">
        <v>123</v>
      </c>
      <c r="K5" s="1" t="s">
        <v>373</v>
      </c>
      <c r="L5" s="1" t="s">
        <v>353</v>
      </c>
      <c r="M5" s="1" t="s">
        <v>367</v>
      </c>
      <c r="N5" s="1" t="s">
        <v>345</v>
      </c>
      <c r="O5" s="1" t="s">
        <v>122</v>
      </c>
      <c r="P5" s="23" t="s">
        <v>123</v>
      </c>
      <c r="Q5" s="1" t="s">
        <v>123</v>
      </c>
      <c r="R5" s="1" t="s">
        <v>1335</v>
      </c>
      <c r="S5" s="40" t="s">
        <v>131</v>
      </c>
      <c r="T5" s="40" t="s">
        <v>132</v>
      </c>
      <c r="U5" s="40" t="s">
        <v>122</v>
      </c>
      <c r="V5" s="40"/>
    </row>
    <row r="6" spans="1:22" x14ac:dyDescent="0.55000000000000004">
      <c r="A6" s="1" t="s">
        <v>1336</v>
      </c>
      <c r="B6" s="1" t="s">
        <v>1337</v>
      </c>
      <c r="C6" s="1" t="s">
        <v>327</v>
      </c>
      <c r="D6" s="1" t="s">
        <v>384</v>
      </c>
      <c r="E6" s="1" t="s">
        <v>397</v>
      </c>
      <c r="F6" s="1" t="s">
        <v>892</v>
      </c>
      <c r="G6" s="1" t="s">
        <v>1234</v>
      </c>
      <c r="H6" s="1" t="s">
        <v>446</v>
      </c>
      <c r="I6" s="1" t="s">
        <v>513</v>
      </c>
      <c r="J6" s="1" t="s">
        <v>123</v>
      </c>
      <c r="K6" s="1" t="s">
        <v>373</v>
      </c>
      <c r="L6" s="1" t="s">
        <v>353</v>
      </c>
      <c r="M6" s="1" t="s">
        <v>367</v>
      </c>
      <c r="N6" s="1" t="s">
        <v>345</v>
      </c>
      <c r="O6" s="1" t="s">
        <v>122</v>
      </c>
      <c r="P6" s="23" t="s">
        <v>123</v>
      </c>
      <c r="Q6" s="1" t="s">
        <v>123</v>
      </c>
      <c r="R6" s="1" t="s">
        <v>1338</v>
      </c>
      <c r="S6" s="40" t="s">
        <v>131</v>
      </c>
      <c r="T6" s="40" t="s">
        <v>132</v>
      </c>
      <c r="U6" s="40" t="s">
        <v>122</v>
      </c>
      <c r="V6" s="40"/>
    </row>
    <row r="7" spans="1:22" x14ac:dyDescent="0.55000000000000004">
      <c r="A7" s="1" t="s">
        <v>1339</v>
      </c>
      <c r="B7" s="1" t="s">
        <v>1340</v>
      </c>
      <c r="C7" s="1" t="s">
        <v>327</v>
      </c>
      <c r="D7" s="1" t="s">
        <v>384</v>
      </c>
      <c r="E7" s="1" t="s">
        <v>397</v>
      </c>
      <c r="F7" s="1" t="s">
        <v>892</v>
      </c>
      <c r="G7" s="1" t="s">
        <v>995</v>
      </c>
      <c r="H7" s="1" t="s">
        <v>446</v>
      </c>
      <c r="I7" s="1" t="s">
        <v>513</v>
      </c>
      <c r="J7" s="1" t="s">
        <v>123</v>
      </c>
      <c r="K7" s="1" t="s">
        <v>373</v>
      </c>
      <c r="L7" s="1" t="s">
        <v>353</v>
      </c>
      <c r="M7" s="1" t="s">
        <v>367</v>
      </c>
      <c r="N7" s="1" t="s">
        <v>345</v>
      </c>
      <c r="O7" s="1" t="s">
        <v>122</v>
      </c>
      <c r="P7" s="23" t="s">
        <v>123</v>
      </c>
      <c r="Q7" s="1" t="s">
        <v>123</v>
      </c>
      <c r="R7" s="1" t="s">
        <v>1341</v>
      </c>
      <c r="S7" s="40" t="s">
        <v>131</v>
      </c>
      <c r="T7" s="40" t="s">
        <v>132</v>
      </c>
      <c r="U7" s="40" t="s">
        <v>122</v>
      </c>
      <c r="V7" s="40"/>
    </row>
  </sheetData>
  <phoneticPr fontId="21" type="noConversion"/>
  <pageMargins left="0.3" right="0.3" top="0.5" bottom="0.5" header="0.2" footer="0.2"/>
  <pageSetup paperSize="9" scale="38" fitToHeight="0" orientation="landscape" horizontalDpi="300" verticalDpi="300"/>
  <headerFooter>
    <oddHeader>&amp;C&amp;"TH Sarabun New,Bold"&amp;10 บัญชีรายการชุดข้อมูลพื้นฐาน — Workshop Verification</oddHeader>
    <oddFooter>&amp;L&amp;9 &amp;D&amp;R&amp;9 หน้า &amp;P /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F01BC-9DBD-4787-9B51-E7688155B750}">
  <sheetPr>
    <tabColor rgb="FF92D050"/>
    <pageSetUpPr fitToPage="1"/>
  </sheetPr>
  <dimension ref="A1:V6"/>
  <sheetViews>
    <sheetView zoomScale="112" zoomScaleNormal="112" workbookViewId="0">
      <pane ySplit="1" topLeftCell="A2" activePane="bottomLeft" state="frozen"/>
      <selection activeCell="E419" sqref="E419"/>
      <selection pane="bottomLeft" activeCell="S2" sqref="S2:U2"/>
    </sheetView>
  </sheetViews>
  <sheetFormatPr defaultColWidth="10.85546875" defaultRowHeight="24" x14ac:dyDescent="0.55000000000000004"/>
  <cols>
    <col min="1" max="1" width="10.85546875" style="1" customWidth="1"/>
    <col min="2" max="16384" width="10.85546875" style="1"/>
  </cols>
  <sheetData>
    <row r="1" spans="1:22" ht="124.5" customHeight="1" x14ac:dyDescent="0.55000000000000004">
      <c r="A1" s="24" t="s">
        <v>1</v>
      </c>
      <c r="B1" s="24" t="s">
        <v>2</v>
      </c>
      <c r="C1" s="24" t="s">
        <v>425</v>
      </c>
      <c r="D1" s="24" t="s">
        <v>426</v>
      </c>
      <c r="E1" s="24" t="s">
        <v>427</v>
      </c>
      <c r="F1" s="24" t="s">
        <v>4</v>
      </c>
      <c r="G1" s="24" t="s">
        <v>429</v>
      </c>
      <c r="H1" s="24" t="s">
        <v>543</v>
      </c>
      <c r="I1" s="24" t="s">
        <v>5</v>
      </c>
      <c r="J1" s="24" t="s">
        <v>430</v>
      </c>
      <c r="K1" s="24" t="s">
        <v>6</v>
      </c>
      <c r="L1" s="24" t="s">
        <v>431</v>
      </c>
      <c r="M1" s="24" t="s">
        <v>432</v>
      </c>
      <c r="N1" s="24" t="s">
        <v>433</v>
      </c>
      <c r="O1" s="24" t="s">
        <v>115</v>
      </c>
      <c r="P1" s="24" t="s">
        <v>9</v>
      </c>
      <c r="Q1" s="24" t="s">
        <v>434</v>
      </c>
      <c r="R1" s="24" t="s">
        <v>116</v>
      </c>
      <c r="S1" s="39" t="s">
        <v>113</v>
      </c>
      <c r="T1" s="39" t="s">
        <v>114</v>
      </c>
      <c r="U1" s="39" t="s">
        <v>115</v>
      </c>
      <c r="V1" s="39" t="s">
        <v>116</v>
      </c>
    </row>
    <row r="2" spans="1:22" x14ac:dyDescent="0.55000000000000004">
      <c r="A2" s="1" t="s">
        <v>1342</v>
      </c>
      <c r="B2" s="1" t="s">
        <v>1343</v>
      </c>
      <c r="C2" s="1" t="s">
        <v>327</v>
      </c>
      <c r="D2" s="1" t="s">
        <v>384</v>
      </c>
      <c r="E2" s="1" t="s">
        <v>397</v>
      </c>
      <c r="F2" s="1" t="s">
        <v>750</v>
      </c>
      <c r="G2" s="1" t="s">
        <v>756</v>
      </c>
      <c r="H2" s="1" t="s">
        <v>446</v>
      </c>
      <c r="I2" s="1" t="s">
        <v>513</v>
      </c>
      <c r="J2" s="1" t="s">
        <v>850</v>
      </c>
      <c r="K2" s="1" t="s">
        <v>373</v>
      </c>
      <c r="L2" s="1" t="s">
        <v>353</v>
      </c>
      <c r="M2" s="1" t="s">
        <v>367</v>
      </c>
      <c r="N2" s="1" t="s">
        <v>345</v>
      </c>
      <c r="O2" s="1" t="s">
        <v>122</v>
      </c>
      <c r="P2" s="1" t="s">
        <v>123</v>
      </c>
      <c r="Q2" s="1" t="s">
        <v>123</v>
      </c>
      <c r="R2" s="1" t="s">
        <v>1344</v>
      </c>
      <c r="S2" s="40" t="s">
        <v>131</v>
      </c>
      <c r="T2" s="40" t="s">
        <v>132</v>
      </c>
      <c r="U2" s="40" t="s">
        <v>122</v>
      </c>
      <c r="V2" s="40"/>
    </row>
    <row r="3" spans="1:22" x14ac:dyDescent="0.55000000000000004">
      <c r="A3" s="1" t="s">
        <v>1345</v>
      </c>
      <c r="B3" s="1" t="s">
        <v>1346</v>
      </c>
      <c r="C3" s="1" t="s">
        <v>327</v>
      </c>
      <c r="D3" s="1" t="s">
        <v>376</v>
      </c>
      <c r="E3" s="1" t="s">
        <v>377</v>
      </c>
      <c r="F3" s="1" t="s">
        <v>750</v>
      </c>
      <c r="G3" s="1" t="s">
        <v>756</v>
      </c>
      <c r="H3" s="1" t="s">
        <v>446</v>
      </c>
      <c r="I3" s="1" t="s">
        <v>513</v>
      </c>
      <c r="J3" s="1" t="s">
        <v>850</v>
      </c>
      <c r="K3" s="1" t="s">
        <v>373</v>
      </c>
      <c r="L3" s="1" t="s">
        <v>353</v>
      </c>
      <c r="M3" s="1" t="s">
        <v>367</v>
      </c>
      <c r="N3" s="1" t="s">
        <v>345</v>
      </c>
      <c r="O3" s="1" t="s">
        <v>122</v>
      </c>
      <c r="P3" s="23" t="s">
        <v>123</v>
      </c>
      <c r="Q3" s="1" t="s">
        <v>123</v>
      </c>
      <c r="R3" s="1" t="s">
        <v>1347</v>
      </c>
      <c r="S3" s="40" t="s">
        <v>131</v>
      </c>
      <c r="T3" s="40" t="s">
        <v>132</v>
      </c>
      <c r="U3" s="40" t="s">
        <v>122</v>
      </c>
      <c r="V3" s="40"/>
    </row>
    <row r="4" spans="1:22" x14ac:dyDescent="0.55000000000000004">
      <c r="P4" s="23"/>
    </row>
    <row r="5" spans="1:22" x14ac:dyDescent="0.55000000000000004">
      <c r="P5" s="23"/>
    </row>
    <row r="6" spans="1:22" x14ac:dyDescent="0.55000000000000004">
      <c r="P6" s="23"/>
    </row>
  </sheetData>
  <phoneticPr fontId="21" type="noConversion"/>
  <pageMargins left="0.3" right="0.3" top="0.5" bottom="0.5" header="0.2" footer="0.2"/>
  <pageSetup paperSize="9" scale="38" fitToHeight="0" orientation="landscape" horizontalDpi="300" verticalDpi="300"/>
  <headerFooter>
    <oddHeader>&amp;C&amp;"TH Sarabun New,Bold"&amp;10 บัญชีรายการชุดข้อมูลพื้นฐาน — Workshop Verification</oddHeader>
    <oddFooter>&amp;L&amp;9 &amp;D&amp;R&amp;9 หน้า &amp;P / 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E642-E8CF-4733-84DF-447DF0847AC1}">
  <sheetPr>
    <tabColor rgb="FF92D050"/>
  </sheetPr>
  <dimension ref="A1:V2"/>
  <sheetViews>
    <sheetView workbookViewId="0">
      <pane ySplit="1" topLeftCell="A2" activePane="bottomLeft" state="frozen"/>
      <selection activeCell="J12" sqref="J12"/>
      <selection pane="bottomLeft" activeCell="N2" sqref="N2"/>
    </sheetView>
  </sheetViews>
  <sheetFormatPr defaultColWidth="8.85546875" defaultRowHeight="24" x14ac:dyDescent="0.55000000000000004"/>
  <cols>
    <col min="1" max="22" width="12.42578125" style="45" customWidth="1"/>
    <col min="23" max="16384" width="8.85546875" style="45"/>
  </cols>
  <sheetData>
    <row r="1" spans="1:22" s="48" customFormat="1" ht="120" x14ac:dyDescent="0.55000000000000004">
      <c r="A1" s="46" t="s">
        <v>1</v>
      </c>
      <c r="B1" s="46" t="s">
        <v>2</v>
      </c>
      <c r="C1" s="46" t="s">
        <v>425</v>
      </c>
      <c r="D1" s="46" t="s">
        <v>426</v>
      </c>
      <c r="E1" s="46" t="s">
        <v>427</v>
      </c>
      <c r="F1" s="46" t="s">
        <v>4</v>
      </c>
      <c r="G1" s="46" t="s">
        <v>428</v>
      </c>
      <c r="H1" s="46" t="s">
        <v>429</v>
      </c>
      <c r="I1" s="46" t="s">
        <v>5</v>
      </c>
      <c r="J1" s="46" t="s">
        <v>430</v>
      </c>
      <c r="K1" s="46" t="s">
        <v>6</v>
      </c>
      <c r="L1" s="46" t="s">
        <v>431</v>
      </c>
      <c r="M1" s="46" t="s">
        <v>432</v>
      </c>
      <c r="N1" s="46" t="s">
        <v>433</v>
      </c>
      <c r="O1" s="46" t="s">
        <v>115</v>
      </c>
      <c r="P1" s="47" t="s">
        <v>9</v>
      </c>
      <c r="Q1" s="46" t="s">
        <v>434</v>
      </c>
      <c r="R1" s="46" t="s">
        <v>116</v>
      </c>
      <c r="S1" s="46" t="s">
        <v>113</v>
      </c>
      <c r="T1" s="46" t="s">
        <v>114</v>
      </c>
      <c r="U1" s="46" t="s">
        <v>115</v>
      </c>
      <c r="V1" s="46" t="s">
        <v>116</v>
      </c>
    </row>
    <row r="2" spans="1:22" x14ac:dyDescent="0.55000000000000004">
      <c r="A2" s="45" t="s">
        <v>1348</v>
      </c>
      <c r="B2" s="45" t="s">
        <v>1349</v>
      </c>
      <c r="C2" s="45" t="s">
        <v>327</v>
      </c>
      <c r="D2" s="45" t="s">
        <v>376</v>
      </c>
      <c r="E2" s="45" t="s">
        <v>377</v>
      </c>
      <c r="F2" s="45" t="s">
        <v>892</v>
      </c>
      <c r="G2" s="45" t="s">
        <v>797</v>
      </c>
      <c r="H2" s="45" t="s">
        <v>446</v>
      </c>
      <c r="I2" s="45" t="s">
        <v>513</v>
      </c>
      <c r="J2" s="45" t="s">
        <v>850</v>
      </c>
      <c r="K2" s="45" t="s">
        <v>373</v>
      </c>
      <c r="L2" s="45" t="s">
        <v>353</v>
      </c>
      <c r="M2" s="45" t="s">
        <v>367</v>
      </c>
      <c r="N2" s="45" t="s">
        <v>345</v>
      </c>
      <c r="O2" s="45" t="s">
        <v>122</v>
      </c>
      <c r="P2" s="45" t="s">
        <v>123</v>
      </c>
      <c r="Q2" s="45" t="s">
        <v>123</v>
      </c>
      <c r="R2" s="45" t="s">
        <v>1350</v>
      </c>
      <c r="S2" s="40" t="s">
        <v>131</v>
      </c>
      <c r="T2" s="40" t="s">
        <v>132</v>
      </c>
      <c r="U2" s="40" t="s">
        <v>122</v>
      </c>
    </row>
  </sheetData>
  <pageMargins left="0.7" right="0.7" top="0.75" bottom="0.75" header="0.3" footer="0.3"/>
  <pageSetup paperSize="9" orientation="portrait" horizontalDpi="0" verticalDpi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7372-372B-44EB-B7AF-60EF26E361B0}">
  <sheetPr>
    <tabColor rgb="FF92D050"/>
  </sheetPr>
  <dimension ref="A1:V2"/>
  <sheetViews>
    <sheetView workbookViewId="0">
      <pane ySplit="1" topLeftCell="A2" activePane="bottomLeft" state="frozen"/>
      <selection activeCell="N29" sqref="N29"/>
      <selection pane="bottomLeft" activeCell="N29" sqref="N29"/>
    </sheetView>
  </sheetViews>
  <sheetFormatPr defaultColWidth="8.85546875" defaultRowHeight="24" x14ac:dyDescent="0.55000000000000004"/>
  <cols>
    <col min="1" max="22" width="12.42578125" style="45" customWidth="1"/>
    <col min="23" max="16384" width="8.85546875" style="45"/>
  </cols>
  <sheetData>
    <row r="1" spans="1:22" s="48" customFormat="1" ht="120" x14ac:dyDescent="0.55000000000000004">
      <c r="A1" s="46" t="s">
        <v>1</v>
      </c>
      <c r="B1" s="46" t="s">
        <v>2</v>
      </c>
      <c r="C1" s="46" t="s">
        <v>425</v>
      </c>
      <c r="D1" s="46" t="s">
        <v>426</v>
      </c>
      <c r="E1" s="46" t="s">
        <v>427</v>
      </c>
      <c r="F1" s="46" t="s">
        <v>4</v>
      </c>
      <c r="G1" s="46" t="s">
        <v>428</v>
      </c>
      <c r="H1" s="46" t="s">
        <v>429</v>
      </c>
      <c r="I1" s="46" t="s">
        <v>5</v>
      </c>
      <c r="J1" s="46" t="s">
        <v>430</v>
      </c>
      <c r="K1" s="46" t="s">
        <v>6</v>
      </c>
      <c r="L1" s="46" t="s">
        <v>431</v>
      </c>
      <c r="M1" s="46" t="s">
        <v>432</v>
      </c>
      <c r="N1" s="46" t="s">
        <v>433</v>
      </c>
      <c r="O1" s="46" t="s">
        <v>115</v>
      </c>
      <c r="P1" s="47" t="s">
        <v>9</v>
      </c>
      <c r="Q1" s="46" t="s">
        <v>434</v>
      </c>
      <c r="R1" s="46" t="s">
        <v>116</v>
      </c>
      <c r="S1" s="46" t="s">
        <v>113</v>
      </c>
      <c r="T1" s="46" t="s">
        <v>114</v>
      </c>
      <c r="U1" s="46" t="s">
        <v>115</v>
      </c>
      <c r="V1" s="46" t="s">
        <v>116</v>
      </c>
    </row>
    <row r="2" spans="1:22" x14ac:dyDescent="0.55000000000000004">
      <c r="A2" s="45" t="s">
        <v>1351</v>
      </c>
      <c r="B2" s="45" t="s">
        <v>1352</v>
      </c>
      <c r="C2" s="45" t="s">
        <v>327</v>
      </c>
      <c r="D2" s="45" t="s">
        <v>384</v>
      </c>
      <c r="E2" s="45" t="s">
        <v>391</v>
      </c>
      <c r="F2" s="45" t="s">
        <v>364</v>
      </c>
      <c r="G2" s="45" t="s">
        <v>995</v>
      </c>
      <c r="H2" s="45" t="s">
        <v>446</v>
      </c>
      <c r="I2" s="45" t="s">
        <v>513</v>
      </c>
      <c r="J2" s="45" t="s">
        <v>123</v>
      </c>
      <c r="K2" s="45" t="s">
        <v>373</v>
      </c>
      <c r="L2" s="45" t="s">
        <v>353</v>
      </c>
      <c r="M2" s="45" t="s">
        <v>367</v>
      </c>
      <c r="N2" s="45" t="s">
        <v>345</v>
      </c>
      <c r="O2" s="45" t="s">
        <v>122</v>
      </c>
      <c r="P2" s="45" t="s">
        <v>123</v>
      </c>
      <c r="Q2" s="45" t="s">
        <v>123</v>
      </c>
      <c r="R2" s="45" t="s">
        <v>1353</v>
      </c>
      <c r="S2" s="40" t="s">
        <v>131</v>
      </c>
      <c r="T2" s="40" t="s">
        <v>132</v>
      </c>
      <c r="U2" s="40" t="s">
        <v>122</v>
      </c>
    </row>
  </sheetData>
  <pageMargins left="0.7" right="0.7" top="0.75" bottom="0.75" header="0.3" footer="0.3"/>
  <pageSetup paperSize="9" orientation="portrait" horizontalDpi="0" verticalDpi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F610-E813-457C-A8B8-F6E950FC45CC}">
  <sheetPr>
    <tabColor rgb="FF92D050"/>
  </sheetPr>
  <dimension ref="A1:V4"/>
  <sheetViews>
    <sheetView workbookViewId="0">
      <pane ySplit="1" topLeftCell="A2" activePane="bottomLeft" state="frozen"/>
      <selection activeCell="N29" sqref="N29"/>
      <selection pane="bottomLeft" activeCell="N29" sqref="N29"/>
    </sheetView>
  </sheetViews>
  <sheetFormatPr defaultColWidth="8.85546875" defaultRowHeight="24" x14ac:dyDescent="0.55000000000000004"/>
  <cols>
    <col min="1" max="22" width="12.42578125" style="45" customWidth="1"/>
    <col min="23" max="16384" width="8.85546875" style="45"/>
  </cols>
  <sheetData>
    <row r="1" spans="1:22" s="48" customFormat="1" ht="120" x14ac:dyDescent="0.55000000000000004">
      <c r="A1" s="46" t="s">
        <v>1</v>
      </c>
      <c r="B1" s="46" t="s">
        <v>2</v>
      </c>
      <c r="C1" s="46" t="s">
        <v>425</v>
      </c>
      <c r="D1" s="46" t="s">
        <v>426</v>
      </c>
      <c r="E1" s="46" t="s">
        <v>427</v>
      </c>
      <c r="F1" s="46" t="s">
        <v>4</v>
      </c>
      <c r="G1" s="46" t="s">
        <v>428</v>
      </c>
      <c r="H1" s="46" t="s">
        <v>429</v>
      </c>
      <c r="I1" s="46" t="s">
        <v>5</v>
      </c>
      <c r="J1" s="46" t="s">
        <v>430</v>
      </c>
      <c r="K1" s="46" t="s">
        <v>6</v>
      </c>
      <c r="L1" s="46" t="s">
        <v>431</v>
      </c>
      <c r="M1" s="46" t="s">
        <v>432</v>
      </c>
      <c r="N1" s="46" t="s">
        <v>433</v>
      </c>
      <c r="O1" s="46" t="s">
        <v>115</v>
      </c>
      <c r="P1" s="47" t="s">
        <v>9</v>
      </c>
      <c r="Q1" s="46" t="s">
        <v>434</v>
      </c>
      <c r="R1" s="46" t="s">
        <v>116</v>
      </c>
      <c r="S1" s="46" t="s">
        <v>113</v>
      </c>
      <c r="T1" s="46" t="s">
        <v>114</v>
      </c>
      <c r="U1" s="46" t="s">
        <v>115</v>
      </c>
      <c r="V1" s="46" t="s">
        <v>116</v>
      </c>
    </row>
    <row r="2" spans="1:22" x14ac:dyDescent="0.55000000000000004">
      <c r="A2" s="45" t="s">
        <v>1354</v>
      </c>
      <c r="B2" s="45" t="s">
        <v>1355</v>
      </c>
      <c r="C2" s="45" t="s">
        <v>327</v>
      </c>
      <c r="D2" s="45" t="s">
        <v>376</v>
      </c>
      <c r="E2" s="45" t="s">
        <v>377</v>
      </c>
      <c r="F2" s="45" t="s">
        <v>750</v>
      </c>
      <c r="G2" s="45" t="s">
        <v>877</v>
      </c>
      <c r="H2" s="45" t="s">
        <v>446</v>
      </c>
      <c r="I2" s="45" t="s">
        <v>513</v>
      </c>
      <c r="J2" s="45" t="s">
        <v>1025</v>
      </c>
      <c r="K2" s="45" t="s">
        <v>373</v>
      </c>
      <c r="L2" s="45" t="s">
        <v>353</v>
      </c>
      <c r="M2" s="45" t="s">
        <v>367</v>
      </c>
      <c r="N2" s="45" t="s">
        <v>345</v>
      </c>
      <c r="O2" s="45" t="s">
        <v>122</v>
      </c>
      <c r="P2" s="45" t="s">
        <v>123</v>
      </c>
      <c r="Q2" s="45" t="s">
        <v>123</v>
      </c>
      <c r="R2" s="45" t="s">
        <v>1356</v>
      </c>
      <c r="T2" s="40" t="s">
        <v>131</v>
      </c>
      <c r="U2" s="40" t="s">
        <v>132</v>
      </c>
      <c r="V2" s="40" t="s">
        <v>122</v>
      </c>
    </row>
    <row r="3" spans="1:22" x14ac:dyDescent="0.55000000000000004">
      <c r="A3" s="45" t="s">
        <v>1357</v>
      </c>
      <c r="B3" s="45" t="s">
        <v>1358</v>
      </c>
      <c r="C3" s="45" t="s">
        <v>327</v>
      </c>
      <c r="D3" s="45" t="s">
        <v>384</v>
      </c>
      <c r="E3" s="45" t="s">
        <v>397</v>
      </c>
      <c r="F3" s="45" t="s">
        <v>750</v>
      </c>
      <c r="G3" s="45" t="s">
        <v>821</v>
      </c>
      <c r="H3" s="45" t="s">
        <v>446</v>
      </c>
      <c r="I3" s="45" t="s">
        <v>513</v>
      </c>
      <c r="J3" s="45" t="s">
        <v>1302</v>
      </c>
      <c r="K3" s="45" t="s">
        <v>373</v>
      </c>
      <c r="L3" s="45" t="s">
        <v>353</v>
      </c>
      <c r="M3" s="45" t="s">
        <v>367</v>
      </c>
      <c r="N3" s="45" t="s">
        <v>345</v>
      </c>
      <c r="O3" s="45" t="s">
        <v>122</v>
      </c>
      <c r="P3" s="45" t="s">
        <v>123</v>
      </c>
      <c r="Q3" s="45" t="s">
        <v>123</v>
      </c>
      <c r="R3" s="45" t="s">
        <v>1356</v>
      </c>
      <c r="T3" s="40" t="s">
        <v>131</v>
      </c>
      <c r="U3" s="40" t="s">
        <v>132</v>
      </c>
      <c r="V3" s="40" t="s">
        <v>122</v>
      </c>
    </row>
    <row r="4" spans="1:22" x14ac:dyDescent="0.55000000000000004">
      <c r="A4" s="45" t="s">
        <v>1359</v>
      </c>
      <c r="B4" s="45" t="s">
        <v>1360</v>
      </c>
      <c r="C4" s="45" t="s">
        <v>327</v>
      </c>
      <c r="D4" s="45" t="s">
        <v>384</v>
      </c>
      <c r="E4" s="45" t="s">
        <v>397</v>
      </c>
      <c r="F4" s="45" t="s">
        <v>750</v>
      </c>
      <c r="G4" s="45" t="s">
        <v>1361</v>
      </c>
      <c r="H4" s="45" t="s">
        <v>446</v>
      </c>
      <c r="I4" s="45" t="s">
        <v>513</v>
      </c>
      <c r="J4" s="45" t="s">
        <v>1302</v>
      </c>
      <c r="K4" s="45" t="s">
        <v>373</v>
      </c>
      <c r="L4" s="45" t="s">
        <v>353</v>
      </c>
      <c r="M4" s="45" t="s">
        <v>367</v>
      </c>
      <c r="N4" s="45" t="s">
        <v>345</v>
      </c>
      <c r="O4" s="45" t="s">
        <v>122</v>
      </c>
      <c r="P4" s="45" t="s">
        <v>123</v>
      </c>
      <c r="Q4" s="45" t="s">
        <v>123</v>
      </c>
      <c r="R4" s="45" t="s">
        <v>1356</v>
      </c>
      <c r="T4" s="40" t="s">
        <v>131</v>
      </c>
      <c r="U4" s="40" t="s">
        <v>132</v>
      </c>
      <c r="V4" s="40" t="s">
        <v>122</v>
      </c>
    </row>
  </sheetData>
  <pageMargins left="0.7" right="0.7" top="0.75" bottom="0.75" header="0.3" footer="0.3"/>
  <pageSetup paperSize="9" orientation="portrait" horizontalDpi="0" verticalDpi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B8C2-F943-43C1-A471-3DC25C56A10A}">
  <sheetPr>
    <tabColor rgb="FF92D050"/>
  </sheetPr>
  <dimension ref="A1:V3"/>
  <sheetViews>
    <sheetView workbookViewId="0">
      <pane ySplit="1" topLeftCell="A2" activePane="bottomLeft" state="frozen"/>
      <selection activeCell="N29" sqref="N29"/>
      <selection pane="bottomLeft" activeCell="N29" sqref="N29"/>
    </sheetView>
  </sheetViews>
  <sheetFormatPr defaultColWidth="8.85546875" defaultRowHeight="24" x14ac:dyDescent="0.55000000000000004"/>
  <cols>
    <col min="1" max="22" width="12.42578125" style="45" customWidth="1"/>
    <col min="23" max="16384" width="8.85546875" style="45"/>
  </cols>
  <sheetData>
    <row r="1" spans="1:22" s="48" customFormat="1" ht="120" x14ac:dyDescent="0.55000000000000004">
      <c r="A1" s="46" t="s">
        <v>1</v>
      </c>
      <c r="B1" s="46" t="s">
        <v>2</v>
      </c>
      <c r="C1" s="46" t="s">
        <v>425</v>
      </c>
      <c r="D1" s="46" t="s">
        <v>426</v>
      </c>
      <c r="E1" s="46" t="s">
        <v>427</v>
      </c>
      <c r="F1" s="46" t="s">
        <v>4</v>
      </c>
      <c r="G1" s="46" t="s">
        <v>428</v>
      </c>
      <c r="H1" s="46" t="s">
        <v>429</v>
      </c>
      <c r="I1" s="46" t="s">
        <v>5</v>
      </c>
      <c r="J1" s="46" t="s">
        <v>430</v>
      </c>
      <c r="K1" s="46" t="s">
        <v>6</v>
      </c>
      <c r="L1" s="46" t="s">
        <v>431</v>
      </c>
      <c r="M1" s="46" t="s">
        <v>432</v>
      </c>
      <c r="N1" s="46" t="s">
        <v>433</v>
      </c>
      <c r="O1" s="46" t="s">
        <v>115</v>
      </c>
      <c r="P1" s="47" t="s">
        <v>9</v>
      </c>
      <c r="Q1" s="46" t="s">
        <v>434</v>
      </c>
      <c r="R1" s="46" t="s">
        <v>116</v>
      </c>
      <c r="S1" s="46" t="s">
        <v>113</v>
      </c>
      <c r="T1" s="46" t="s">
        <v>114</v>
      </c>
      <c r="U1" s="46" t="s">
        <v>115</v>
      </c>
      <c r="V1" s="46" t="s">
        <v>116</v>
      </c>
    </row>
    <row r="2" spans="1:22" x14ac:dyDescent="0.55000000000000004">
      <c r="A2" s="45" t="s">
        <v>1362</v>
      </c>
      <c r="B2" s="45" t="s">
        <v>1363</v>
      </c>
      <c r="C2" s="45" t="s">
        <v>327</v>
      </c>
      <c r="D2" s="45" t="s">
        <v>376</v>
      </c>
      <c r="E2" s="45" t="s">
        <v>377</v>
      </c>
      <c r="F2" s="45" t="s">
        <v>892</v>
      </c>
      <c r="G2" s="45" t="s">
        <v>877</v>
      </c>
      <c r="H2" s="45" t="s">
        <v>446</v>
      </c>
      <c r="I2" s="45" t="s">
        <v>513</v>
      </c>
      <c r="J2" s="45" t="s">
        <v>850</v>
      </c>
      <c r="K2" s="45" t="s">
        <v>373</v>
      </c>
      <c r="L2" s="45" t="s">
        <v>353</v>
      </c>
      <c r="M2" s="45" t="s">
        <v>367</v>
      </c>
      <c r="N2" s="45" t="s">
        <v>345</v>
      </c>
      <c r="O2" s="45" t="s">
        <v>122</v>
      </c>
      <c r="P2" s="45" t="s">
        <v>123</v>
      </c>
      <c r="Q2" s="45" t="s">
        <v>123</v>
      </c>
      <c r="R2" s="45" t="s">
        <v>1364</v>
      </c>
      <c r="S2" s="40" t="s">
        <v>131</v>
      </c>
      <c r="T2" s="40" t="s">
        <v>132</v>
      </c>
      <c r="U2" s="40" t="s">
        <v>122</v>
      </c>
    </row>
    <row r="3" spans="1:22" x14ac:dyDescent="0.55000000000000004">
      <c r="A3" s="45" t="s">
        <v>1365</v>
      </c>
      <c r="B3" s="45" t="s">
        <v>1366</v>
      </c>
      <c r="C3" s="45" t="s">
        <v>327</v>
      </c>
      <c r="D3" s="45" t="s">
        <v>376</v>
      </c>
      <c r="E3" s="45" t="s">
        <v>377</v>
      </c>
      <c r="F3" s="45" t="s">
        <v>892</v>
      </c>
      <c r="G3" s="45" t="s">
        <v>797</v>
      </c>
      <c r="H3" s="45" t="s">
        <v>446</v>
      </c>
      <c r="I3" s="45" t="s">
        <v>513</v>
      </c>
      <c r="J3" s="45" t="s">
        <v>850</v>
      </c>
      <c r="K3" s="45" t="s">
        <v>373</v>
      </c>
      <c r="L3" s="45" t="s">
        <v>353</v>
      </c>
      <c r="M3" s="45" t="s">
        <v>367</v>
      </c>
      <c r="N3" s="45" t="s">
        <v>345</v>
      </c>
      <c r="O3" s="45" t="s">
        <v>122</v>
      </c>
      <c r="P3" s="45" t="s">
        <v>123</v>
      </c>
      <c r="Q3" s="45" t="s">
        <v>123</v>
      </c>
      <c r="R3" s="45" t="s">
        <v>1367</v>
      </c>
      <c r="S3" s="40" t="s">
        <v>131</v>
      </c>
      <c r="T3" s="40" t="s">
        <v>132</v>
      </c>
      <c r="U3" s="40" t="s">
        <v>122</v>
      </c>
    </row>
  </sheetData>
  <pageMargins left="0.7" right="0.7" top="0.75" bottom="0.75" header="0.3" footer="0.3"/>
  <pageSetup paperSize="9" orientation="portrait" horizontalDpi="0" verticalDpi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673C-4F01-45E0-B7DB-F7A04AAEAF38}">
  <sheetPr>
    <tabColor rgb="FF92D050"/>
  </sheetPr>
  <dimension ref="A1:V2"/>
  <sheetViews>
    <sheetView workbookViewId="0">
      <pane ySplit="1" topLeftCell="A2" activePane="bottomLeft" state="frozen"/>
      <selection activeCell="N29" sqref="N29"/>
      <selection pane="bottomLeft" activeCell="N29" sqref="N29"/>
    </sheetView>
  </sheetViews>
  <sheetFormatPr defaultColWidth="8.85546875" defaultRowHeight="24" x14ac:dyDescent="0.55000000000000004"/>
  <cols>
    <col min="1" max="22" width="12.42578125" style="45" customWidth="1"/>
    <col min="23" max="16384" width="8.85546875" style="45"/>
  </cols>
  <sheetData>
    <row r="1" spans="1:22" s="48" customFormat="1" ht="120" x14ac:dyDescent="0.55000000000000004">
      <c r="A1" s="46" t="s">
        <v>1</v>
      </c>
      <c r="B1" s="46" t="s">
        <v>2</v>
      </c>
      <c r="C1" s="46" t="s">
        <v>425</v>
      </c>
      <c r="D1" s="46" t="s">
        <v>426</v>
      </c>
      <c r="E1" s="46" t="s">
        <v>427</v>
      </c>
      <c r="F1" s="46" t="s">
        <v>4</v>
      </c>
      <c r="G1" s="46" t="s">
        <v>428</v>
      </c>
      <c r="H1" s="46" t="s">
        <v>429</v>
      </c>
      <c r="I1" s="46" t="s">
        <v>5</v>
      </c>
      <c r="J1" s="46" t="s">
        <v>430</v>
      </c>
      <c r="K1" s="46" t="s">
        <v>6</v>
      </c>
      <c r="L1" s="46" t="s">
        <v>431</v>
      </c>
      <c r="M1" s="46" t="s">
        <v>432</v>
      </c>
      <c r="N1" s="46" t="s">
        <v>433</v>
      </c>
      <c r="O1" s="46" t="s">
        <v>115</v>
      </c>
      <c r="P1" s="47" t="s">
        <v>9</v>
      </c>
      <c r="Q1" s="46" t="s">
        <v>434</v>
      </c>
      <c r="R1" s="46" t="s">
        <v>116</v>
      </c>
      <c r="S1" s="46" t="s">
        <v>113</v>
      </c>
      <c r="T1" s="46" t="s">
        <v>114</v>
      </c>
      <c r="U1" s="46" t="s">
        <v>115</v>
      </c>
      <c r="V1" s="46" t="s">
        <v>116</v>
      </c>
    </row>
    <row r="2" spans="1:22" x14ac:dyDescent="0.55000000000000004">
      <c r="A2" s="45" t="s">
        <v>1368</v>
      </c>
      <c r="B2" s="45" t="s">
        <v>1369</v>
      </c>
      <c r="C2" s="45" t="s">
        <v>327</v>
      </c>
      <c r="D2" s="45" t="s">
        <v>384</v>
      </c>
      <c r="E2" s="45" t="s">
        <v>397</v>
      </c>
      <c r="F2" s="45" t="s">
        <v>892</v>
      </c>
      <c r="G2" s="45" t="s">
        <v>756</v>
      </c>
      <c r="H2" s="45" t="s">
        <v>446</v>
      </c>
      <c r="I2" s="45" t="s">
        <v>513</v>
      </c>
      <c r="J2" s="45" t="s">
        <v>123</v>
      </c>
      <c r="K2" s="45" t="s">
        <v>373</v>
      </c>
      <c r="L2" s="45" t="s">
        <v>353</v>
      </c>
      <c r="M2" s="45" t="s">
        <v>367</v>
      </c>
      <c r="N2" s="45" t="s">
        <v>345</v>
      </c>
      <c r="O2" s="45" t="s">
        <v>122</v>
      </c>
      <c r="P2" s="45" t="s">
        <v>123</v>
      </c>
      <c r="Q2" s="45" t="s">
        <v>123</v>
      </c>
      <c r="R2" s="45" t="s">
        <v>1370</v>
      </c>
      <c r="S2" s="40" t="s">
        <v>131</v>
      </c>
      <c r="T2" s="40" t="s">
        <v>132</v>
      </c>
      <c r="U2" s="40" t="s">
        <v>122</v>
      </c>
    </row>
  </sheetData>
  <pageMargins left="0.7" right="0.7" top="0.75" bottom="0.75" header="0.3" footer="0.3"/>
  <pageSetup paperSize="9" orientation="portrait" horizontalDpi="0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864A-64A9-4837-A531-91B335BACC14}">
  <sheetPr>
    <tabColor rgb="FF92D050"/>
  </sheetPr>
  <dimension ref="A1:V2"/>
  <sheetViews>
    <sheetView workbookViewId="0">
      <pane ySplit="1" topLeftCell="A2" activePane="bottomLeft" state="frozen"/>
      <selection activeCell="N29" sqref="N29"/>
      <selection pane="bottomLeft" activeCell="N29" sqref="N29"/>
    </sheetView>
  </sheetViews>
  <sheetFormatPr defaultColWidth="8.85546875" defaultRowHeight="24" x14ac:dyDescent="0.55000000000000004"/>
  <cols>
    <col min="1" max="22" width="12.42578125" style="45" customWidth="1"/>
    <col min="23" max="16384" width="8.85546875" style="45"/>
  </cols>
  <sheetData>
    <row r="1" spans="1:22" s="48" customFormat="1" ht="120" x14ac:dyDescent="0.55000000000000004">
      <c r="A1" s="46" t="s">
        <v>1</v>
      </c>
      <c r="B1" s="46" t="s">
        <v>2</v>
      </c>
      <c r="C1" s="46" t="s">
        <v>425</v>
      </c>
      <c r="D1" s="46" t="s">
        <v>426</v>
      </c>
      <c r="E1" s="46" t="s">
        <v>427</v>
      </c>
      <c r="F1" s="46" t="s">
        <v>4</v>
      </c>
      <c r="G1" s="46" t="s">
        <v>428</v>
      </c>
      <c r="H1" s="46" t="s">
        <v>429</v>
      </c>
      <c r="I1" s="46" t="s">
        <v>5</v>
      </c>
      <c r="J1" s="46" t="s">
        <v>430</v>
      </c>
      <c r="K1" s="46" t="s">
        <v>6</v>
      </c>
      <c r="L1" s="46" t="s">
        <v>431</v>
      </c>
      <c r="M1" s="46" t="s">
        <v>432</v>
      </c>
      <c r="N1" s="46" t="s">
        <v>433</v>
      </c>
      <c r="O1" s="46" t="s">
        <v>115</v>
      </c>
      <c r="P1" s="47" t="s">
        <v>9</v>
      </c>
      <c r="Q1" s="46" t="s">
        <v>434</v>
      </c>
      <c r="R1" s="46" t="s">
        <v>116</v>
      </c>
      <c r="S1" s="46" t="s">
        <v>113</v>
      </c>
      <c r="T1" s="46" t="s">
        <v>114</v>
      </c>
      <c r="U1" s="46" t="s">
        <v>115</v>
      </c>
      <c r="V1" s="46" t="s">
        <v>116</v>
      </c>
    </row>
    <row r="2" spans="1:22" x14ac:dyDescent="0.55000000000000004">
      <c r="A2" s="45" t="s">
        <v>1371</v>
      </c>
      <c r="B2" s="45" t="s">
        <v>1372</v>
      </c>
      <c r="C2" s="45" t="s">
        <v>327</v>
      </c>
      <c r="D2" s="45" t="s">
        <v>384</v>
      </c>
      <c r="E2" s="45" t="s">
        <v>397</v>
      </c>
      <c r="F2" s="45" t="s">
        <v>892</v>
      </c>
      <c r="G2" s="45" t="s">
        <v>885</v>
      </c>
      <c r="H2" s="45" t="s">
        <v>446</v>
      </c>
      <c r="I2" s="45" t="s">
        <v>513</v>
      </c>
      <c r="J2" s="45" t="s">
        <v>946</v>
      </c>
      <c r="K2" s="45" t="s">
        <v>373</v>
      </c>
      <c r="L2" s="45" t="s">
        <v>353</v>
      </c>
      <c r="M2" s="45" t="s">
        <v>367</v>
      </c>
      <c r="N2" s="45" t="s">
        <v>345</v>
      </c>
      <c r="O2" s="45" t="s">
        <v>122</v>
      </c>
      <c r="P2" s="45" t="s">
        <v>123</v>
      </c>
      <c r="Q2" s="45" t="s">
        <v>123</v>
      </c>
      <c r="R2" s="45" t="s">
        <v>1373</v>
      </c>
      <c r="S2" s="40" t="s">
        <v>131</v>
      </c>
      <c r="T2" s="40" t="s">
        <v>132</v>
      </c>
      <c r="U2" s="40" t="s">
        <v>122</v>
      </c>
    </row>
  </sheetData>
  <pageMargins left="0.7" right="0.7" top="0.75" bottom="0.75" header="0.3" footer="0.3"/>
  <pageSetup paperSize="9"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0F21-39C8-4E63-A97E-4EBC2811B680}">
  <sheetPr>
    <tabColor rgb="FF92D050"/>
  </sheetPr>
  <dimension ref="A1:V2"/>
  <sheetViews>
    <sheetView workbookViewId="0">
      <pane ySplit="1" topLeftCell="A2" activePane="bottomLeft" state="frozen"/>
      <selection activeCell="N29" sqref="N29"/>
      <selection pane="bottomLeft" activeCell="N29" sqref="N29"/>
    </sheetView>
  </sheetViews>
  <sheetFormatPr defaultColWidth="8.85546875" defaultRowHeight="24" x14ac:dyDescent="0.55000000000000004"/>
  <cols>
    <col min="1" max="22" width="12.42578125" style="45" customWidth="1"/>
    <col min="23" max="16384" width="8.85546875" style="45"/>
  </cols>
  <sheetData>
    <row r="1" spans="1:22" s="48" customFormat="1" ht="120" x14ac:dyDescent="0.55000000000000004">
      <c r="A1" s="46" t="s">
        <v>1</v>
      </c>
      <c r="B1" s="46" t="s">
        <v>2</v>
      </c>
      <c r="C1" s="46" t="s">
        <v>425</v>
      </c>
      <c r="D1" s="46" t="s">
        <v>426</v>
      </c>
      <c r="E1" s="46" t="s">
        <v>427</v>
      </c>
      <c r="F1" s="46" t="s">
        <v>4</v>
      </c>
      <c r="G1" s="46" t="s">
        <v>428</v>
      </c>
      <c r="H1" s="46" t="s">
        <v>429</v>
      </c>
      <c r="I1" s="46" t="s">
        <v>5</v>
      </c>
      <c r="J1" s="46" t="s">
        <v>430</v>
      </c>
      <c r="K1" s="46" t="s">
        <v>6</v>
      </c>
      <c r="L1" s="46" t="s">
        <v>431</v>
      </c>
      <c r="M1" s="46" t="s">
        <v>432</v>
      </c>
      <c r="N1" s="46" t="s">
        <v>433</v>
      </c>
      <c r="O1" s="46" t="s">
        <v>115</v>
      </c>
      <c r="P1" s="47" t="s">
        <v>9</v>
      </c>
      <c r="Q1" s="46" t="s">
        <v>434</v>
      </c>
      <c r="R1" s="46" t="s">
        <v>116</v>
      </c>
      <c r="S1" s="46" t="s">
        <v>113</v>
      </c>
      <c r="T1" s="46" t="s">
        <v>114</v>
      </c>
      <c r="U1" s="46" t="s">
        <v>115</v>
      </c>
      <c r="V1" s="46" t="s">
        <v>116</v>
      </c>
    </row>
    <row r="2" spans="1:22" x14ac:dyDescent="0.55000000000000004">
      <c r="A2" s="45" t="s">
        <v>1374</v>
      </c>
      <c r="B2" s="45" t="s">
        <v>1375</v>
      </c>
      <c r="C2" s="45" t="s">
        <v>327</v>
      </c>
      <c r="D2" s="45" t="s">
        <v>376</v>
      </c>
      <c r="E2" s="45" t="s">
        <v>377</v>
      </c>
      <c r="F2" s="45" t="s">
        <v>364</v>
      </c>
      <c r="G2" s="45" t="s">
        <v>877</v>
      </c>
      <c r="H2" s="45" t="s">
        <v>446</v>
      </c>
      <c r="I2" s="45" t="s">
        <v>513</v>
      </c>
      <c r="J2" s="45" t="s">
        <v>123</v>
      </c>
      <c r="K2" s="45" t="s">
        <v>373</v>
      </c>
      <c r="L2" s="45" t="s">
        <v>353</v>
      </c>
      <c r="M2" s="45" t="s">
        <v>367</v>
      </c>
      <c r="N2" s="45" t="s">
        <v>345</v>
      </c>
      <c r="O2" s="45" t="s">
        <v>122</v>
      </c>
      <c r="P2" s="45" t="s">
        <v>123</v>
      </c>
      <c r="Q2" s="45" t="s">
        <v>123</v>
      </c>
      <c r="R2" s="45" t="s">
        <v>1376</v>
      </c>
      <c r="S2" s="40" t="s">
        <v>131</v>
      </c>
      <c r="T2" s="40" t="s">
        <v>132</v>
      </c>
      <c r="U2" s="40" t="s">
        <v>122</v>
      </c>
    </row>
  </sheetData>
  <pageMargins left="0.7" right="0.7" top="0.75" bottom="0.75" header="0.3" footer="0.3"/>
  <pageSetup paperSize="9" orientation="portrait" horizontalDpi="0" verticalDpi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891B-1DDC-4D6E-903D-2CD66C8E9463}">
  <sheetPr>
    <tabColor rgb="FF92D050"/>
  </sheetPr>
  <dimension ref="A1:V6"/>
  <sheetViews>
    <sheetView workbookViewId="0">
      <pane ySplit="1" topLeftCell="A2" activePane="bottomLeft" state="frozen"/>
      <selection activeCell="N29" sqref="N29"/>
      <selection pane="bottomLeft" activeCell="N29" sqref="N29"/>
    </sheetView>
  </sheetViews>
  <sheetFormatPr defaultColWidth="8.85546875" defaultRowHeight="24" x14ac:dyDescent="0.55000000000000004"/>
  <cols>
    <col min="1" max="22" width="12.42578125" style="45" customWidth="1"/>
    <col min="23" max="16384" width="8.85546875" style="45"/>
  </cols>
  <sheetData>
    <row r="1" spans="1:22" s="48" customFormat="1" ht="120" x14ac:dyDescent="0.55000000000000004">
      <c r="A1" s="46" t="s">
        <v>1</v>
      </c>
      <c r="B1" s="46" t="s">
        <v>2</v>
      </c>
      <c r="C1" s="46" t="s">
        <v>425</v>
      </c>
      <c r="D1" s="46" t="s">
        <v>426</v>
      </c>
      <c r="E1" s="46" t="s">
        <v>427</v>
      </c>
      <c r="F1" s="46" t="s">
        <v>4</v>
      </c>
      <c r="G1" s="46" t="s">
        <v>428</v>
      </c>
      <c r="H1" s="46" t="s">
        <v>429</v>
      </c>
      <c r="I1" s="46" t="s">
        <v>5</v>
      </c>
      <c r="J1" s="46" t="s">
        <v>430</v>
      </c>
      <c r="K1" s="46" t="s">
        <v>6</v>
      </c>
      <c r="L1" s="46" t="s">
        <v>431</v>
      </c>
      <c r="M1" s="46" t="s">
        <v>432</v>
      </c>
      <c r="N1" s="46" t="s">
        <v>433</v>
      </c>
      <c r="O1" s="46" t="s">
        <v>115</v>
      </c>
      <c r="P1" s="47" t="s">
        <v>9</v>
      </c>
      <c r="Q1" s="46" t="s">
        <v>434</v>
      </c>
      <c r="R1" s="46" t="s">
        <v>116</v>
      </c>
      <c r="S1" s="46" t="s">
        <v>113</v>
      </c>
      <c r="T1" s="46" t="s">
        <v>114</v>
      </c>
      <c r="U1" s="46" t="s">
        <v>115</v>
      </c>
      <c r="V1" s="46" t="s">
        <v>116</v>
      </c>
    </row>
    <row r="2" spans="1:22" x14ac:dyDescent="0.55000000000000004">
      <c r="A2" s="45" t="s">
        <v>1377</v>
      </c>
      <c r="B2" s="45" t="s">
        <v>1378</v>
      </c>
      <c r="C2" s="45" t="s">
        <v>327</v>
      </c>
      <c r="D2" s="45" t="s">
        <v>376</v>
      </c>
      <c r="E2" s="45" t="s">
        <v>377</v>
      </c>
      <c r="F2" s="45" t="s">
        <v>892</v>
      </c>
      <c r="G2" s="45" t="s">
        <v>797</v>
      </c>
      <c r="H2" s="45" t="s">
        <v>446</v>
      </c>
      <c r="I2" s="45" t="s">
        <v>513</v>
      </c>
      <c r="J2" s="45" t="s">
        <v>123</v>
      </c>
      <c r="K2" s="45" t="s">
        <v>373</v>
      </c>
      <c r="L2" s="45" t="s">
        <v>353</v>
      </c>
      <c r="M2" s="45" t="s">
        <v>367</v>
      </c>
      <c r="N2" s="45" t="s">
        <v>345</v>
      </c>
      <c r="O2" s="45" t="s">
        <v>122</v>
      </c>
      <c r="P2" s="45" t="s">
        <v>123</v>
      </c>
      <c r="Q2" s="45" t="s">
        <v>123</v>
      </c>
      <c r="R2" s="45" t="s">
        <v>1379</v>
      </c>
      <c r="S2" s="40" t="s">
        <v>131</v>
      </c>
      <c r="T2" s="40" t="s">
        <v>132</v>
      </c>
      <c r="U2" s="40" t="s">
        <v>122</v>
      </c>
    </row>
    <row r="3" spans="1:22" x14ac:dyDescent="0.55000000000000004">
      <c r="A3" s="45" t="s">
        <v>1380</v>
      </c>
      <c r="B3" s="45" t="s">
        <v>1381</v>
      </c>
      <c r="C3" s="45" t="s">
        <v>327</v>
      </c>
      <c r="D3" s="45" t="s">
        <v>376</v>
      </c>
      <c r="E3" s="45" t="s">
        <v>377</v>
      </c>
      <c r="F3" s="45" t="s">
        <v>745</v>
      </c>
      <c r="G3" s="45" t="s">
        <v>885</v>
      </c>
      <c r="H3" s="45" t="s">
        <v>446</v>
      </c>
      <c r="I3" s="45" t="s">
        <v>513</v>
      </c>
      <c r="J3" s="45" t="s">
        <v>1382</v>
      </c>
      <c r="K3" s="45" t="s">
        <v>373</v>
      </c>
      <c r="L3" s="45" t="s">
        <v>353</v>
      </c>
      <c r="M3" s="45" t="s">
        <v>367</v>
      </c>
      <c r="N3" s="45" t="s">
        <v>345</v>
      </c>
      <c r="O3" s="45" t="s">
        <v>122</v>
      </c>
      <c r="P3" s="45" t="s">
        <v>123</v>
      </c>
      <c r="Q3" s="45" t="s">
        <v>123</v>
      </c>
      <c r="R3" s="45" t="s">
        <v>1383</v>
      </c>
      <c r="S3" s="40" t="s">
        <v>131</v>
      </c>
      <c r="T3" s="40" t="s">
        <v>132</v>
      </c>
      <c r="U3" s="40" t="s">
        <v>122</v>
      </c>
    </row>
    <row r="4" spans="1:22" x14ac:dyDescent="0.55000000000000004">
      <c r="A4" s="45" t="s">
        <v>1384</v>
      </c>
      <c r="B4" s="45" t="s">
        <v>1385</v>
      </c>
      <c r="C4" s="45" t="s">
        <v>327</v>
      </c>
      <c r="D4" s="45" t="s">
        <v>376</v>
      </c>
      <c r="E4" s="45" t="s">
        <v>377</v>
      </c>
      <c r="F4" s="45" t="s">
        <v>745</v>
      </c>
      <c r="G4" s="45" t="s">
        <v>885</v>
      </c>
      <c r="H4" s="45" t="s">
        <v>446</v>
      </c>
      <c r="I4" s="45" t="s">
        <v>513</v>
      </c>
      <c r="J4" s="45" t="s">
        <v>123</v>
      </c>
      <c r="K4" s="45" t="s">
        <v>373</v>
      </c>
      <c r="L4" s="45" t="s">
        <v>353</v>
      </c>
      <c r="M4" s="45" t="s">
        <v>367</v>
      </c>
      <c r="N4" s="45" t="s">
        <v>345</v>
      </c>
      <c r="O4" s="45" t="s">
        <v>122</v>
      </c>
      <c r="P4" s="45" t="s">
        <v>123</v>
      </c>
      <c r="Q4" s="45" t="s">
        <v>123</v>
      </c>
      <c r="R4" s="45" t="s">
        <v>1386</v>
      </c>
      <c r="S4" s="40" t="s">
        <v>131</v>
      </c>
      <c r="T4" s="40" t="s">
        <v>132</v>
      </c>
      <c r="U4" s="40" t="s">
        <v>122</v>
      </c>
    </row>
    <row r="5" spans="1:22" x14ac:dyDescent="0.55000000000000004">
      <c r="A5" s="45" t="s">
        <v>1387</v>
      </c>
      <c r="B5" s="45" t="s">
        <v>1388</v>
      </c>
      <c r="C5" s="45" t="s">
        <v>327</v>
      </c>
      <c r="D5" s="45" t="s">
        <v>384</v>
      </c>
      <c r="E5" s="45" t="s">
        <v>397</v>
      </c>
      <c r="F5" s="45" t="s">
        <v>371</v>
      </c>
      <c r="G5" s="45" t="s">
        <v>885</v>
      </c>
      <c r="H5" s="45" t="s">
        <v>446</v>
      </c>
      <c r="I5" s="45" t="s">
        <v>513</v>
      </c>
      <c r="J5" s="45" t="s">
        <v>955</v>
      </c>
      <c r="K5" s="45" t="s">
        <v>373</v>
      </c>
      <c r="L5" s="45" t="s">
        <v>353</v>
      </c>
      <c r="M5" s="45" t="s">
        <v>367</v>
      </c>
      <c r="N5" s="45" t="s">
        <v>345</v>
      </c>
      <c r="O5" s="45" t="s">
        <v>122</v>
      </c>
      <c r="P5" s="45" t="s">
        <v>123</v>
      </c>
      <c r="Q5" s="45" t="s">
        <v>123</v>
      </c>
      <c r="R5" s="45" t="s">
        <v>1389</v>
      </c>
      <c r="S5" s="40" t="s">
        <v>131</v>
      </c>
      <c r="T5" s="40" t="s">
        <v>132</v>
      </c>
      <c r="U5" s="40" t="s">
        <v>122</v>
      </c>
    </row>
    <row r="6" spans="1:22" x14ac:dyDescent="0.55000000000000004">
      <c r="A6" s="45" t="s">
        <v>1390</v>
      </c>
      <c r="B6" s="45" t="s">
        <v>1391</v>
      </c>
      <c r="C6" s="45" t="s">
        <v>327</v>
      </c>
      <c r="D6" s="45" t="s">
        <v>376</v>
      </c>
      <c r="E6" s="45" t="s">
        <v>377</v>
      </c>
      <c r="F6" s="45" t="s">
        <v>892</v>
      </c>
      <c r="G6" s="45" t="s">
        <v>995</v>
      </c>
      <c r="H6" s="45" t="s">
        <v>446</v>
      </c>
      <c r="I6" s="45" t="s">
        <v>513</v>
      </c>
      <c r="J6" s="45" t="s">
        <v>123</v>
      </c>
      <c r="K6" s="45" t="s">
        <v>373</v>
      </c>
      <c r="L6" s="45" t="s">
        <v>353</v>
      </c>
      <c r="M6" s="45" t="s">
        <v>367</v>
      </c>
      <c r="N6" s="45" t="s">
        <v>345</v>
      </c>
      <c r="O6" s="45" t="s">
        <v>122</v>
      </c>
      <c r="P6" s="45" t="s">
        <v>123</v>
      </c>
      <c r="Q6" s="45" t="s">
        <v>123</v>
      </c>
      <c r="R6" s="45" t="s">
        <v>1392</v>
      </c>
      <c r="S6" s="40" t="s">
        <v>131</v>
      </c>
      <c r="T6" s="40" t="s">
        <v>132</v>
      </c>
      <c r="U6" s="40" t="s">
        <v>122</v>
      </c>
    </row>
  </sheetData>
  <pageMargins left="0.7" right="0.7" top="0.75" bottom="0.75" header="0.3" footer="0.3"/>
  <pageSetup paperSize="9" orientation="portrait" horizontalDpi="0" verticalDpi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8894-081E-438D-A757-B384A835E985}">
  <sheetPr>
    <tabColor rgb="FF92D050"/>
  </sheetPr>
  <dimension ref="A1:V4"/>
  <sheetViews>
    <sheetView workbookViewId="0">
      <pane ySplit="1" topLeftCell="A2" activePane="bottomLeft" state="frozen"/>
      <selection activeCell="N29" sqref="N29"/>
      <selection pane="bottomLeft" activeCell="N29" sqref="N29"/>
    </sheetView>
  </sheetViews>
  <sheetFormatPr defaultColWidth="8.85546875" defaultRowHeight="24" x14ac:dyDescent="0.55000000000000004"/>
  <cols>
    <col min="1" max="22" width="12.42578125" style="45" customWidth="1"/>
    <col min="23" max="16384" width="8.85546875" style="45"/>
  </cols>
  <sheetData>
    <row r="1" spans="1:22" s="48" customFormat="1" ht="120" x14ac:dyDescent="0.55000000000000004">
      <c r="A1" s="46" t="s">
        <v>1</v>
      </c>
      <c r="B1" s="46" t="s">
        <v>2</v>
      </c>
      <c r="C1" s="46" t="s">
        <v>425</v>
      </c>
      <c r="D1" s="46" t="s">
        <v>426</v>
      </c>
      <c r="E1" s="46" t="s">
        <v>427</v>
      </c>
      <c r="F1" s="46" t="s">
        <v>4</v>
      </c>
      <c r="G1" s="46" t="s">
        <v>428</v>
      </c>
      <c r="H1" s="46" t="s">
        <v>429</v>
      </c>
      <c r="I1" s="46" t="s">
        <v>5</v>
      </c>
      <c r="J1" s="46" t="s">
        <v>430</v>
      </c>
      <c r="K1" s="46" t="s">
        <v>6</v>
      </c>
      <c r="L1" s="46" t="s">
        <v>431</v>
      </c>
      <c r="M1" s="46" t="s">
        <v>432</v>
      </c>
      <c r="N1" s="46" t="s">
        <v>433</v>
      </c>
      <c r="O1" s="46" t="s">
        <v>115</v>
      </c>
      <c r="P1" s="47" t="s">
        <v>9</v>
      </c>
      <c r="Q1" s="46" t="s">
        <v>434</v>
      </c>
      <c r="R1" s="46" t="s">
        <v>116</v>
      </c>
      <c r="S1" s="46" t="s">
        <v>113</v>
      </c>
      <c r="T1" s="46" t="s">
        <v>114</v>
      </c>
      <c r="U1" s="46" t="s">
        <v>115</v>
      </c>
      <c r="V1" s="46" t="s">
        <v>116</v>
      </c>
    </row>
    <row r="2" spans="1:22" x14ac:dyDescent="0.55000000000000004">
      <c r="A2" s="45" t="s">
        <v>1393</v>
      </c>
      <c r="B2" s="45" t="s">
        <v>1394</v>
      </c>
      <c r="C2" s="45" t="s">
        <v>327</v>
      </c>
      <c r="D2" s="45" t="s">
        <v>376</v>
      </c>
      <c r="E2" s="45" t="s">
        <v>377</v>
      </c>
      <c r="F2" s="45" t="s">
        <v>371</v>
      </c>
      <c r="G2" s="45" t="s">
        <v>885</v>
      </c>
      <c r="H2" s="45" t="s">
        <v>446</v>
      </c>
      <c r="I2" s="45" t="s">
        <v>513</v>
      </c>
      <c r="J2" s="45" t="s">
        <v>1395</v>
      </c>
      <c r="K2" s="45" t="s">
        <v>373</v>
      </c>
      <c r="L2" s="45" t="s">
        <v>353</v>
      </c>
      <c r="M2" s="45" t="s">
        <v>367</v>
      </c>
      <c r="N2" s="45" t="s">
        <v>345</v>
      </c>
      <c r="O2" s="45" t="s">
        <v>122</v>
      </c>
      <c r="P2" s="45" t="s">
        <v>123</v>
      </c>
      <c r="Q2" s="45" t="s">
        <v>123</v>
      </c>
      <c r="R2" s="45" t="s">
        <v>1396</v>
      </c>
      <c r="S2" s="40" t="s">
        <v>131</v>
      </c>
      <c r="T2" s="40" t="s">
        <v>132</v>
      </c>
      <c r="U2" s="40" t="s">
        <v>122</v>
      </c>
    </row>
    <row r="3" spans="1:22" x14ac:dyDescent="0.55000000000000004">
      <c r="A3" s="45" t="s">
        <v>1397</v>
      </c>
      <c r="B3" s="45" t="s">
        <v>1398</v>
      </c>
      <c r="C3" s="45" t="s">
        <v>411</v>
      </c>
      <c r="D3" s="45" t="s">
        <v>415</v>
      </c>
      <c r="E3" s="45" t="s">
        <v>416</v>
      </c>
      <c r="F3" s="45" t="s">
        <v>892</v>
      </c>
      <c r="G3" s="45" t="s">
        <v>756</v>
      </c>
      <c r="H3" s="45" t="s">
        <v>446</v>
      </c>
      <c r="I3" s="45" t="s">
        <v>513</v>
      </c>
      <c r="J3" s="45" t="s">
        <v>123</v>
      </c>
      <c r="K3" s="45" t="s">
        <v>373</v>
      </c>
      <c r="L3" s="45" t="s">
        <v>353</v>
      </c>
      <c r="M3" s="45" t="s">
        <v>367</v>
      </c>
      <c r="N3" s="45" t="s">
        <v>345</v>
      </c>
      <c r="O3" s="45" t="s">
        <v>122</v>
      </c>
      <c r="P3" s="45" t="s">
        <v>123</v>
      </c>
      <c r="Q3" s="45" t="s">
        <v>123</v>
      </c>
      <c r="R3" s="45" t="s">
        <v>1399</v>
      </c>
      <c r="S3" s="40" t="s">
        <v>131</v>
      </c>
      <c r="T3" s="40" t="s">
        <v>132</v>
      </c>
      <c r="U3" s="40" t="s">
        <v>122</v>
      </c>
    </row>
    <row r="4" spans="1:22" x14ac:dyDescent="0.55000000000000004">
      <c r="A4" s="45" t="s">
        <v>1400</v>
      </c>
      <c r="B4" s="45" t="s">
        <v>1401</v>
      </c>
      <c r="C4" s="45" t="s">
        <v>327</v>
      </c>
      <c r="D4" s="45" t="s">
        <v>384</v>
      </c>
      <c r="E4" s="45" t="s">
        <v>397</v>
      </c>
      <c r="F4" s="45" t="s">
        <v>892</v>
      </c>
      <c r="G4" s="45" t="s">
        <v>756</v>
      </c>
      <c r="H4" s="45" t="s">
        <v>446</v>
      </c>
      <c r="I4" s="45" t="s">
        <v>513</v>
      </c>
      <c r="J4" s="45" t="s">
        <v>123</v>
      </c>
      <c r="K4" s="45" t="s">
        <v>373</v>
      </c>
      <c r="L4" s="45" t="s">
        <v>353</v>
      </c>
      <c r="M4" s="45" t="s">
        <v>367</v>
      </c>
      <c r="N4" s="45" t="s">
        <v>345</v>
      </c>
      <c r="O4" s="45" t="s">
        <v>122</v>
      </c>
      <c r="P4" s="45" t="s">
        <v>123</v>
      </c>
      <c r="Q4" s="45" t="s">
        <v>123</v>
      </c>
      <c r="R4" s="45" t="s">
        <v>1402</v>
      </c>
      <c r="S4" s="40" t="s">
        <v>131</v>
      </c>
      <c r="T4" s="40" t="s">
        <v>132</v>
      </c>
      <c r="U4" s="40" t="s">
        <v>122</v>
      </c>
    </row>
  </sheetData>
  <pageMargins left="0.7" right="0.7" top="0.75" bottom="0.75" header="0.3" footer="0.3"/>
  <pageSetup paperSize="9" orientation="portrait" horizontalDpi="0" verticalDpi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2CED-3A37-4F3B-9E84-A099A962E4D9}">
  <sheetPr>
    <tabColor rgb="FF92D050"/>
  </sheetPr>
  <dimension ref="A1:V12"/>
  <sheetViews>
    <sheetView workbookViewId="0">
      <pane ySplit="1" topLeftCell="A2" activePane="bottomLeft" state="frozen"/>
      <selection activeCell="N29" sqref="N29"/>
      <selection pane="bottomLeft" activeCell="B5" sqref="B5"/>
    </sheetView>
  </sheetViews>
  <sheetFormatPr defaultColWidth="8.85546875" defaultRowHeight="24" x14ac:dyDescent="0.55000000000000004"/>
  <cols>
    <col min="1" max="1" width="12.42578125" style="45" customWidth="1"/>
    <col min="2" max="2" width="46.140625" style="45" customWidth="1"/>
    <col min="3" max="22" width="12.42578125" style="45" customWidth="1"/>
    <col min="23" max="16384" width="8.85546875" style="45"/>
  </cols>
  <sheetData>
    <row r="1" spans="1:22" s="48" customFormat="1" ht="120" x14ac:dyDescent="0.55000000000000004">
      <c r="A1" s="46" t="s">
        <v>1</v>
      </c>
      <c r="B1" s="46" t="s">
        <v>2</v>
      </c>
      <c r="C1" s="46" t="s">
        <v>425</v>
      </c>
      <c r="D1" s="46" t="s">
        <v>426</v>
      </c>
      <c r="E1" s="46" t="s">
        <v>427</v>
      </c>
      <c r="F1" s="46" t="s">
        <v>4</v>
      </c>
      <c r="G1" s="46" t="s">
        <v>428</v>
      </c>
      <c r="H1" s="46" t="s">
        <v>429</v>
      </c>
      <c r="I1" s="46" t="s">
        <v>5</v>
      </c>
      <c r="J1" s="46" t="s">
        <v>430</v>
      </c>
      <c r="K1" s="46" t="s">
        <v>6</v>
      </c>
      <c r="L1" s="46" t="s">
        <v>431</v>
      </c>
      <c r="M1" s="46" t="s">
        <v>432</v>
      </c>
      <c r="N1" s="46" t="s">
        <v>433</v>
      </c>
      <c r="O1" s="46" t="s">
        <v>115</v>
      </c>
      <c r="P1" s="47" t="s">
        <v>9</v>
      </c>
      <c r="Q1" s="46" t="s">
        <v>434</v>
      </c>
      <c r="R1" s="46" t="s">
        <v>116</v>
      </c>
      <c r="S1" s="46" t="s">
        <v>113</v>
      </c>
      <c r="T1" s="46" t="s">
        <v>114</v>
      </c>
      <c r="U1" s="46" t="s">
        <v>115</v>
      </c>
      <c r="V1" s="46" t="s">
        <v>116</v>
      </c>
    </row>
    <row r="2" spans="1:22" x14ac:dyDescent="0.55000000000000004">
      <c r="A2" s="45" t="s">
        <v>1403</v>
      </c>
      <c r="B2" s="45" t="s">
        <v>1404</v>
      </c>
      <c r="C2" s="45" t="s">
        <v>327</v>
      </c>
      <c r="D2" s="45" t="s">
        <v>384</v>
      </c>
      <c r="E2" s="45" t="s">
        <v>397</v>
      </c>
      <c r="F2" s="45" t="s">
        <v>745</v>
      </c>
      <c r="G2" s="45" t="s">
        <v>746</v>
      </c>
      <c r="H2" s="45" t="s">
        <v>446</v>
      </c>
      <c r="I2" s="45" t="s">
        <v>513</v>
      </c>
      <c r="J2" s="45" t="s">
        <v>123</v>
      </c>
      <c r="K2" s="45" t="s">
        <v>373</v>
      </c>
      <c r="L2" s="45" t="s">
        <v>353</v>
      </c>
      <c r="M2" s="45" t="s">
        <v>367</v>
      </c>
      <c r="N2" s="45" t="s">
        <v>345</v>
      </c>
      <c r="O2" s="45" t="s">
        <v>122</v>
      </c>
      <c r="P2" s="45" t="s">
        <v>123</v>
      </c>
      <c r="Q2" s="45" t="s">
        <v>123</v>
      </c>
      <c r="R2" s="45" t="s">
        <v>1405</v>
      </c>
      <c r="S2" s="40" t="s">
        <v>131</v>
      </c>
      <c r="T2" s="40" t="s">
        <v>132</v>
      </c>
      <c r="U2" s="40" t="s">
        <v>122</v>
      </c>
    </row>
    <row r="3" spans="1:22" x14ac:dyDescent="0.55000000000000004">
      <c r="A3" s="45" t="s">
        <v>1406</v>
      </c>
      <c r="B3" s="45" t="s">
        <v>1407</v>
      </c>
      <c r="C3" s="45" t="s">
        <v>327</v>
      </c>
      <c r="D3" s="45" t="s">
        <v>384</v>
      </c>
      <c r="E3" s="45" t="s">
        <v>397</v>
      </c>
      <c r="F3" s="45" t="s">
        <v>750</v>
      </c>
      <c r="G3" s="45" t="s">
        <v>785</v>
      </c>
      <c r="H3" s="45" t="s">
        <v>446</v>
      </c>
      <c r="I3" s="45" t="s">
        <v>513</v>
      </c>
      <c r="J3" s="45" t="s">
        <v>123</v>
      </c>
      <c r="K3" s="45" t="s">
        <v>373</v>
      </c>
      <c r="L3" s="45" t="s">
        <v>353</v>
      </c>
      <c r="M3" s="45" t="s">
        <v>367</v>
      </c>
      <c r="N3" s="45" t="s">
        <v>345</v>
      </c>
      <c r="O3" s="45" t="s">
        <v>122</v>
      </c>
      <c r="P3" s="45" t="s">
        <v>123</v>
      </c>
      <c r="Q3" s="45" t="s">
        <v>123</v>
      </c>
      <c r="R3" s="45" t="s">
        <v>1408</v>
      </c>
      <c r="S3" s="40" t="s">
        <v>131</v>
      </c>
      <c r="T3" s="40" t="s">
        <v>132</v>
      </c>
      <c r="U3" s="40" t="s">
        <v>122</v>
      </c>
    </row>
    <row r="4" spans="1:22" x14ac:dyDescent="0.55000000000000004">
      <c r="A4" s="45" t="s">
        <v>1409</v>
      </c>
      <c r="B4" s="45" t="s">
        <v>1410</v>
      </c>
      <c r="C4" s="45" t="s">
        <v>327</v>
      </c>
      <c r="D4" s="45" t="s">
        <v>384</v>
      </c>
      <c r="E4" s="45" t="s">
        <v>397</v>
      </c>
      <c r="F4" s="45" t="s">
        <v>750</v>
      </c>
      <c r="G4" s="45" t="s">
        <v>1411</v>
      </c>
      <c r="H4" s="45" t="s">
        <v>446</v>
      </c>
      <c r="I4" s="45" t="s">
        <v>513</v>
      </c>
      <c r="J4" s="45" t="s">
        <v>1302</v>
      </c>
      <c r="K4" s="45" t="s">
        <v>373</v>
      </c>
      <c r="L4" s="45" t="s">
        <v>353</v>
      </c>
      <c r="M4" s="45" t="s">
        <v>367</v>
      </c>
      <c r="N4" s="45" t="s">
        <v>345</v>
      </c>
      <c r="O4" s="45" t="s">
        <v>122</v>
      </c>
      <c r="P4" s="45" t="s">
        <v>123</v>
      </c>
      <c r="Q4" s="45" t="s">
        <v>123</v>
      </c>
      <c r="R4" s="45" t="s">
        <v>1408</v>
      </c>
      <c r="S4" s="40" t="s">
        <v>131</v>
      </c>
      <c r="T4" s="40" t="s">
        <v>132</v>
      </c>
      <c r="U4" s="40" t="s">
        <v>122</v>
      </c>
    </row>
    <row r="5" spans="1:22" x14ac:dyDescent="0.55000000000000004">
      <c r="A5" s="45" t="s">
        <v>1412</v>
      </c>
      <c r="B5" s="45" t="s">
        <v>1413</v>
      </c>
      <c r="C5" s="45" t="s">
        <v>327</v>
      </c>
      <c r="D5" s="45" t="s">
        <v>384</v>
      </c>
      <c r="E5" s="45" t="s">
        <v>397</v>
      </c>
      <c r="F5" s="45" t="s">
        <v>357</v>
      </c>
      <c r="G5" s="45" t="s">
        <v>797</v>
      </c>
      <c r="H5" s="45" t="s">
        <v>446</v>
      </c>
      <c r="I5" s="45" t="s">
        <v>513</v>
      </c>
      <c r="J5" s="45" t="s">
        <v>123</v>
      </c>
      <c r="K5" s="45" t="s">
        <v>373</v>
      </c>
      <c r="L5" s="45" t="s">
        <v>353</v>
      </c>
      <c r="M5" s="45" t="s">
        <v>367</v>
      </c>
      <c r="N5" s="45" t="s">
        <v>345</v>
      </c>
      <c r="O5" s="45" t="s">
        <v>122</v>
      </c>
      <c r="P5" s="45" t="s">
        <v>123</v>
      </c>
      <c r="Q5" s="45" t="s">
        <v>123</v>
      </c>
      <c r="R5" s="45" t="s">
        <v>1414</v>
      </c>
      <c r="S5" s="40" t="s">
        <v>131</v>
      </c>
      <c r="T5" s="40" t="s">
        <v>132</v>
      </c>
      <c r="U5" s="40" t="s">
        <v>122</v>
      </c>
    </row>
    <row r="6" spans="1:22" x14ac:dyDescent="0.55000000000000004">
      <c r="A6" s="45" t="s">
        <v>1415</v>
      </c>
      <c r="B6" s="45" t="s">
        <v>1416</v>
      </c>
      <c r="C6" s="45" t="s">
        <v>327</v>
      </c>
      <c r="D6" s="45" t="s">
        <v>328</v>
      </c>
      <c r="E6" s="45" t="s">
        <v>329</v>
      </c>
      <c r="F6" s="45" t="s">
        <v>364</v>
      </c>
      <c r="G6" s="45" t="s">
        <v>797</v>
      </c>
      <c r="H6" s="45" t="s">
        <v>446</v>
      </c>
      <c r="I6" s="45" t="s">
        <v>513</v>
      </c>
      <c r="J6" s="45" t="s">
        <v>1417</v>
      </c>
      <c r="K6" s="45" t="s">
        <v>373</v>
      </c>
      <c r="L6" s="45" t="s">
        <v>353</v>
      </c>
      <c r="M6" s="45" t="s">
        <v>367</v>
      </c>
      <c r="N6" s="45" t="s">
        <v>345</v>
      </c>
      <c r="O6" s="45" t="s">
        <v>122</v>
      </c>
      <c r="P6" s="45" t="s">
        <v>123</v>
      </c>
      <c r="Q6" s="45" t="s">
        <v>123</v>
      </c>
      <c r="R6" s="45" t="s">
        <v>1418</v>
      </c>
      <c r="S6" s="40" t="s">
        <v>131</v>
      </c>
      <c r="T6" s="40" t="s">
        <v>132</v>
      </c>
      <c r="U6" s="40" t="s">
        <v>122</v>
      </c>
    </row>
    <row r="7" spans="1:22" x14ac:dyDescent="0.55000000000000004">
      <c r="A7" s="45" t="s">
        <v>1419</v>
      </c>
      <c r="B7" s="45" t="s">
        <v>1420</v>
      </c>
      <c r="C7" s="45" t="s">
        <v>327</v>
      </c>
      <c r="D7" s="45" t="s">
        <v>384</v>
      </c>
      <c r="E7" s="45" t="s">
        <v>397</v>
      </c>
      <c r="F7" s="45" t="s">
        <v>745</v>
      </c>
      <c r="G7" s="45" t="s">
        <v>885</v>
      </c>
      <c r="H7" s="45" t="s">
        <v>446</v>
      </c>
      <c r="I7" s="45" t="s">
        <v>513</v>
      </c>
      <c r="J7" s="45" t="s">
        <v>547</v>
      </c>
      <c r="K7" s="45" t="s">
        <v>373</v>
      </c>
      <c r="L7" s="45" t="s">
        <v>353</v>
      </c>
      <c r="M7" s="45" t="s">
        <v>367</v>
      </c>
      <c r="N7" s="45" t="s">
        <v>345</v>
      </c>
      <c r="O7" s="45" t="s">
        <v>122</v>
      </c>
      <c r="P7" s="45" t="s">
        <v>123</v>
      </c>
      <c r="Q7" s="45" t="s">
        <v>123</v>
      </c>
      <c r="R7" s="45" t="s">
        <v>1421</v>
      </c>
      <c r="S7" s="40" t="s">
        <v>131</v>
      </c>
      <c r="T7" s="40" t="s">
        <v>132</v>
      </c>
      <c r="U7" s="40" t="s">
        <v>122</v>
      </c>
    </row>
    <row r="8" spans="1:22" x14ac:dyDescent="0.55000000000000004">
      <c r="A8" s="45" t="s">
        <v>1422</v>
      </c>
      <c r="B8" s="45" t="s">
        <v>1423</v>
      </c>
      <c r="C8" s="45" t="s">
        <v>327</v>
      </c>
      <c r="D8" s="45" t="s">
        <v>376</v>
      </c>
      <c r="E8" s="45" t="s">
        <v>377</v>
      </c>
      <c r="F8" s="45" t="s">
        <v>745</v>
      </c>
      <c r="G8" s="45" t="s">
        <v>885</v>
      </c>
      <c r="H8" s="45" t="s">
        <v>446</v>
      </c>
      <c r="I8" s="45" t="s">
        <v>513</v>
      </c>
      <c r="J8" s="45" t="s">
        <v>123</v>
      </c>
      <c r="K8" s="45" t="s">
        <v>373</v>
      </c>
      <c r="L8" s="45" t="s">
        <v>353</v>
      </c>
      <c r="M8" s="45" t="s">
        <v>367</v>
      </c>
      <c r="N8" s="45" t="s">
        <v>345</v>
      </c>
      <c r="O8" s="45" t="s">
        <v>122</v>
      </c>
      <c r="P8" s="45" t="s">
        <v>123</v>
      </c>
      <c r="Q8" s="45" t="s">
        <v>123</v>
      </c>
      <c r="R8" s="45" t="s">
        <v>1424</v>
      </c>
      <c r="S8" s="40" t="s">
        <v>131</v>
      </c>
      <c r="T8" s="40" t="s">
        <v>132</v>
      </c>
      <c r="U8" s="40" t="s">
        <v>122</v>
      </c>
    </row>
    <row r="9" spans="1:22" x14ac:dyDescent="0.55000000000000004">
      <c r="A9" s="45" t="s">
        <v>1425</v>
      </c>
      <c r="B9" s="45" t="s">
        <v>1426</v>
      </c>
      <c r="C9" s="45" t="s">
        <v>327</v>
      </c>
      <c r="D9" s="45" t="s">
        <v>384</v>
      </c>
      <c r="E9" s="45" t="s">
        <v>397</v>
      </c>
      <c r="F9" s="45" t="s">
        <v>745</v>
      </c>
      <c r="G9" s="45" t="s">
        <v>885</v>
      </c>
      <c r="H9" s="45" t="s">
        <v>446</v>
      </c>
      <c r="I9" s="45" t="s">
        <v>513</v>
      </c>
      <c r="J9" s="45" t="s">
        <v>1382</v>
      </c>
      <c r="K9" s="45" t="s">
        <v>373</v>
      </c>
      <c r="L9" s="45" t="s">
        <v>353</v>
      </c>
      <c r="M9" s="45" t="s">
        <v>367</v>
      </c>
      <c r="N9" s="45" t="s">
        <v>345</v>
      </c>
      <c r="O9" s="45" t="s">
        <v>122</v>
      </c>
      <c r="P9" s="45" t="s">
        <v>123</v>
      </c>
      <c r="Q9" s="45" t="s">
        <v>123</v>
      </c>
      <c r="R9" s="45" t="s">
        <v>1427</v>
      </c>
      <c r="S9" s="40" t="s">
        <v>131</v>
      </c>
      <c r="T9" s="40" t="s">
        <v>132</v>
      </c>
      <c r="U9" s="40" t="s">
        <v>122</v>
      </c>
    </row>
    <row r="10" spans="1:22" x14ac:dyDescent="0.55000000000000004">
      <c r="A10" s="45" t="s">
        <v>1428</v>
      </c>
      <c r="B10" s="45" t="s">
        <v>1429</v>
      </c>
      <c r="C10" s="45" t="s">
        <v>327</v>
      </c>
      <c r="D10" s="45" t="s">
        <v>384</v>
      </c>
      <c r="E10" s="45" t="s">
        <v>397</v>
      </c>
      <c r="F10" s="45" t="s">
        <v>364</v>
      </c>
      <c r="G10" s="45" t="s">
        <v>797</v>
      </c>
      <c r="H10" s="45" t="s">
        <v>446</v>
      </c>
      <c r="I10" s="45" t="s">
        <v>513</v>
      </c>
      <c r="J10" s="45" t="s">
        <v>123</v>
      </c>
      <c r="K10" s="45" t="s">
        <v>373</v>
      </c>
      <c r="L10" s="45" t="s">
        <v>353</v>
      </c>
      <c r="M10" s="45" t="s">
        <v>367</v>
      </c>
      <c r="N10" s="45" t="s">
        <v>345</v>
      </c>
      <c r="O10" s="45" t="s">
        <v>122</v>
      </c>
      <c r="P10" s="45" t="s">
        <v>123</v>
      </c>
      <c r="Q10" s="45" t="s">
        <v>123</v>
      </c>
      <c r="R10" s="45" t="s">
        <v>1430</v>
      </c>
      <c r="S10" s="40" t="s">
        <v>131</v>
      </c>
      <c r="T10" s="40" t="s">
        <v>132</v>
      </c>
      <c r="U10" s="40" t="s">
        <v>122</v>
      </c>
    </row>
    <row r="11" spans="1:22" x14ac:dyDescent="0.55000000000000004">
      <c r="A11" s="45" t="s">
        <v>1431</v>
      </c>
      <c r="B11" s="45" t="s">
        <v>1432</v>
      </c>
      <c r="C11" s="45" t="s">
        <v>327</v>
      </c>
      <c r="D11" s="45" t="s">
        <v>384</v>
      </c>
      <c r="E11" s="45" t="s">
        <v>397</v>
      </c>
      <c r="F11" s="45" t="s">
        <v>892</v>
      </c>
      <c r="G11" s="45" t="s">
        <v>797</v>
      </c>
      <c r="H11" s="45" t="s">
        <v>446</v>
      </c>
      <c r="I11" s="45" t="s">
        <v>513</v>
      </c>
      <c r="J11" s="45" t="s">
        <v>123</v>
      </c>
      <c r="K11" s="45" t="s">
        <v>373</v>
      </c>
      <c r="L11" s="45" t="s">
        <v>353</v>
      </c>
      <c r="M11" s="45" t="s">
        <v>367</v>
      </c>
      <c r="N11" s="45" t="s">
        <v>345</v>
      </c>
      <c r="O11" s="45" t="s">
        <v>122</v>
      </c>
      <c r="P11" s="45" t="s">
        <v>123</v>
      </c>
      <c r="Q11" s="45" t="s">
        <v>123</v>
      </c>
      <c r="R11" s="45" t="s">
        <v>1433</v>
      </c>
      <c r="S11" s="40" t="s">
        <v>131</v>
      </c>
      <c r="T11" s="40" t="s">
        <v>132</v>
      </c>
      <c r="U11" s="40" t="s">
        <v>122</v>
      </c>
    </row>
    <row r="12" spans="1:22" x14ac:dyDescent="0.55000000000000004">
      <c r="A12" s="45" t="s">
        <v>1434</v>
      </c>
      <c r="B12" s="45" t="s">
        <v>1435</v>
      </c>
      <c r="C12" s="45" t="s">
        <v>327</v>
      </c>
      <c r="D12" s="45" t="s">
        <v>384</v>
      </c>
      <c r="E12" s="45" t="s">
        <v>391</v>
      </c>
      <c r="F12" s="45" t="s">
        <v>892</v>
      </c>
      <c r="G12" s="45" t="s">
        <v>797</v>
      </c>
      <c r="H12" s="45" t="s">
        <v>446</v>
      </c>
      <c r="I12" s="45" t="s">
        <v>513</v>
      </c>
      <c r="J12" s="45" t="s">
        <v>123</v>
      </c>
      <c r="K12" s="45" t="s">
        <v>373</v>
      </c>
      <c r="L12" s="45" t="s">
        <v>353</v>
      </c>
      <c r="M12" s="45" t="s">
        <v>367</v>
      </c>
      <c r="N12" s="45" t="s">
        <v>345</v>
      </c>
      <c r="O12" s="45" t="s">
        <v>122</v>
      </c>
      <c r="P12" s="45" t="s">
        <v>123</v>
      </c>
      <c r="Q12" s="45" t="s">
        <v>123</v>
      </c>
      <c r="R12" s="45" t="s">
        <v>1436</v>
      </c>
      <c r="S12" s="40" t="s">
        <v>131</v>
      </c>
      <c r="T12" s="40" t="s">
        <v>132</v>
      </c>
      <c r="U12" s="40" t="s">
        <v>122</v>
      </c>
    </row>
  </sheetData>
  <autoFilter ref="A1:V12" xr:uid="{73942CED-3A37-4F3B-9E84-A099A962E4D9}">
    <sortState xmlns:xlrd2="http://schemas.microsoft.com/office/spreadsheetml/2017/richdata2" ref="A2:V12">
      <sortCondition ref="B1:B12"/>
    </sortState>
  </autoFilter>
  <pageMargins left="0.7" right="0.7" top="0.75" bottom="0.75" header="0.3" footer="0.3"/>
  <pageSetup paperSize="9" orientation="portrait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AAD6-B033-496B-84CB-B03ECCF55A60}">
  <sheetPr>
    <tabColor rgb="FF92D050"/>
  </sheetPr>
  <dimension ref="A1:V2"/>
  <sheetViews>
    <sheetView workbookViewId="0">
      <pane ySplit="1" topLeftCell="A2" activePane="bottomLeft" state="frozen"/>
      <selection activeCell="N29" sqref="N29"/>
      <selection pane="bottomLeft" activeCell="H7" sqref="H7"/>
    </sheetView>
  </sheetViews>
  <sheetFormatPr defaultColWidth="8.85546875" defaultRowHeight="24" x14ac:dyDescent="0.55000000000000004"/>
  <cols>
    <col min="1" max="22" width="12.42578125" style="45" customWidth="1"/>
    <col min="23" max="16384" width="8.85546875" style="45"/>
  </cols>
  <sheetData>
    <row r="1" spans="1:22" s="48" customFormat="1" ht="120" x14ac:dyDescent="0.55000000000000004">
      <c r="A1" s="46" t="s">
        <v>1</v>
      </c>
      <c r="B1" s="46" t="s">
        <v>2</v>
      </c>
      <c r="C1" s="46" t="s">
        <v>425</v>
      </c>
      <c r="D1" s="46" t="s">
        <v>426</v>
      </c>
      <c r="E1" s="46" t="s">
        <v>427</v>
      </c>
      <c r="F1" s="46" t="s">
        <v>4</v>
      </c>
      <c r="G1" s="46" t="s">
        <v>428</v>
      </c>
      <c r="H1" s="46" t="s">
        <v>429</v>
      </c>
      <c r="I1" s="46" t="s">
        <v>5</v>
      </c>
      <c r="J1" s="46" t="s">
        <v>430</v>
      </c>
      <c r="K1" s="46" t="s">
        <v>6</v>
      </c>
      <c r="L1" s="46" t="s">
        <v>431</v>
      </c>
      <c r="M1" s="46" t="s">
        <v>432</v>
      </c>
      <c r="N1" s="46" t="s">
        <v>433</v>
      </c>
      <c r="O1" s="46" t="s">
        <v>115</v>
      </c>
      <c r="P1" s="47" t="s">
        <v>9</v>
      </c>
      <c r="Q1" s="46" t="s">
        <v>434</v>
      </c>
      <c r="R1" s="46" t="s">
        <v>116</v>
      </c>
      <c r="S1" s="46" t="s">
        <v>113</v>
      </c>
      <c r="T1" s="46" t="s">
        <v>114</v>
      </c>
      <c r="U1" s="46" t="s">
        <v>115</v>
      </c>
      <c r="V1" s="46" t="s">
        <v>116</v>
      </c>
    </row>
    <row r="2" spans="1:22" x14ac:dyDescent="0.55000000000000004">
      <c r="A2" s="45" t="s">
        <v>1437</v>
      </c>
      <c r="B2" s="45" t="s">
        <v>1438</v>
      </c>
      <c r="C2" s="45" t="s">
        <v>327</v>
      </c>
      <c r="D2" s="45" t="s">
        <v>384</v>
      </c>
      <c r="E2" s="45" t="s">
        <v>391</v>
      </c>
      <c r="F2" s="45" t="s">
        <v>745</v>
      </c>
      <c r="G2" s="45" t="s">
        <v>885</v>
      </c>
      <c r="H2" s="45" t="s">
        <v>446</v>
      </c>
      <c r="I2" s="45" t="s">
        <v>513</v>
      </c>
      <c r="J2" s="45" t="s">
        <v>1439</v>
      </c>
      <c r="K2" s="45" t="s">
        <v>373</v>
      </c>
      <c r="L2" s="45" t="s">
        <v>353</v>
      </c>
      <c r="M2" s="45" t="s">
        <v>367</v>
      </c>
      <c r="N2" s="45" t="s">
        <v>345</v>
      </c>
      <c r="O2" s="45" t="s">
        <v>122</v>
      </c>
      <c r="P2" s="45" t="s">
        <v>123</v>
      </c>
      <c r="Q2" s="45" t="s">
        <v>123</v>
      </c>
      <c r="R2" s="45" t="s">
        <v>1440</v>
      </c>
      <c r="S2" s="40" t="s">
        <v>131</v>
      </c>
      <c r="T2" s="40" t="s">
        <v>132</v>
      </c>
      <c r="U2" s="40" t="s">
        <v>122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89DCA5676B1B5849A9BAE27FA35385BE" ma:contentTypeVersion="12" ma:contentTypeDescription="สร้างเอกสารใหม่" ma:contentTypeScope="" ma:versionID="94788e7a3b209aac4c368ab26c9dbc0b">
  <xsd:schema xmlns:xsd="http://www.w3.org/2001/XMLSchema" xmlns:xs="http://www.w3.org/2001/XMLSchema" xmlns:p="http://schemas.microsoft.com/office/2006/metadata/properties" xmlns:ns2="42694fa1-3384-41d4-a372-d69ca3d0c5da" xmlns:ns3="5b7f4351-ac40-469f-a702-c8c327760c78" targetNamespace="http://schemas.microsoft.com/office/2006/metadata/properties" ma:root="true" ma:fieldsID="97f1ab7e2bc59d16b0c59f6b4ae575b6" ns2:_="" ns3:_="">
    <xsd:import namespace="42694fa1-3384-41d4-a372-d69ca3d0c5da"/>
    <xsd:import namespace="5b7f4351-ac40-469f-a702-c8c327760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94fa1-3384-41d4-a372-d69ca3d0c5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21fca8af-9a21-4583-93fa-8abc923f82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f4351-ac40-469f-a702-c8c327760c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157514-d718-426e-bd31-99d6a55cd4a0}" ma:internalName="TaxCatchAll" ma:showField="CatchAllData" ma:web="5b7f4351-ac40-469f-a702-c8c327760c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criptIds xmlns="http://schemas.microsoft.com/office/extensibility/maker/v1.0" id="script-ids-node-id">
  <scriptId id="ms-officescript%3A%2F%2Fonedrive_business_itemlink%2F01BEP5P2VJZ3CNMJ4RSBHZUUPSQ3Z4MWSO:ms-officescript%3A%2F%2Fonedrive_business_sharinglink%2Fu!aHR0cHM6Ly90aGVjcmVhZ3ljb20tbXkuc2hhcmVwb2ludC5jb20vOnU6L2cvcGVyc29uYWwvdmFpdmlzYXJuX3RoZWNyZWFneV9jb20vSVFDcHpzVFdKNUdRVDVwUjhvYnp4bHBPQVo2Y3JLZUxkaXhEU2RodTlQSk9iRVU"/>
</scriptId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7f4351-ac40-469f-a702-c8c327760c78" xsi:nil="true"/>
    <lcf76f155ced4ddcb4097134ff3c332f xmlns="42694fa1-3384-41d4-a372-d69ca3d0c5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0AAD9E-59E2-42EE-975E-61BC6E286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694fa1-3384-41d4-a372-d69ca3d0c5da"/>
    <ds:schemaRef ds:uri="5b7f4351-ac40-469f-a702-c8c327760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964A74-14D8-4D78-9C07-FE0003F4CEA6}">
  <ds:schemaRefs>
    <ds:schemaRef ds:uri="http://schemas.microsoft.com/office/extensibility/maker/v1.0"/>
  </ds:schemaRefs>
</ds:datastoreItem>
</file>

<file path=customXml/itemProps3.xml><?xml version="1.0" encoding="utf-8"?>
<ds:datastoreItem xmlns:ds="http://schemas.openxmlformats.org/officeDocument/2006/customXml" ds:itemID="{E9666274-AA97-4D05-A7B4-E6FBCC491D0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9301BF-425B-4517-BBB4-702FBB0C2307}">
  <ds:schemaRefs>
    <ds:schemaRef ds:uri="http://schemas.microsoft.com/office/2006/metadata/properties"/>
    <ds:schemaRef ds:uri="http://schemas.microsoft.com/office/infopath/2007/PartnerControls"/>
    <ds:schemaRef ds:uri="5b7f4351-ac40-469f-a702-c8c327760c78"/>
    <ds:schemaRef ds:uri="42694fa1-3384-41d4-a372-d69ca3d0c5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2</vt:i4>
      </vt:variant>
    </vt:vector>
  </HeadingPairs>
  <TitlesOfParts>
    <vt:vector size="51" baseType="lpstr">
      <vt:lpstr>Print_All</vt:lpstr>
      <vt:lpstr>Introduction</vt:lpstr>
      <vt:lpstr>Datasets_ฺmain_backup</vt:lpstr>
      <vt:lpstr>Datasets_main</vt:lpstr>
      <vt:lpstr>Ref_Lookups</vt:lpstr>
      <vt:lpstr>DCCE</vt:lpstr>
      <vt:lpstr>GISTDA</vt:lpstr>
      <vt:lpstr>TMD</vt:lpstr>
      <vt:lpstr>MD</vt:lpstr>
      <vt:lpstr>DMCR</vt:lpstr>
      <vt:lpstr>DMR</vt:lpstr>
      <vt:lpstr>DDPM</vt:lpstr>
      <vt:lpstr>LDD</vt:lpstr>
      <vt:lpstr>HII</vt:lpstr>
      <vt:lpstr>DOT</vt:lpstr>
      <vt:lpstr>DOPA</vt:lpstr>
      <vt:lpstr>DOH</vt:lpstr>
      <vt:lpstr>FAD</vt:lpstr>
      <vt:lpstr>DOHealth</vt:lpstr>
      <vt:lpstr>CDD</vt:lpstr>
      <vt:lpstr>OBEC</vt:lpstr>
      <vt:lpstr>MHESI</vt:lpstr>
      <vt:lpstr>IEAT</vt:lpstr>
      <vt:lpstr>MWA</vt:lpstr>
      <vt:lpstr>PWA</vt:lpstr>
      <vt:lpstr>SRT</vt:lpstr>
      <vt:lpstr>NSO</vt:lpstr>
      <vt:lpstr>EPPO</vt:lpstr>
      <vt:lpstr>DPT</vt:lpstr>
      <vt:lpstr>BMA</vt:lpstr>
      <vt:lpstr>UDDC</vt:lpstr>
      <vt:lpstr>FTI</vt:lpstr>
      <vt:lpstr>NESDC</vt:lpstr>
      <vt:lpstr>MSDHS</vt:lpstr>
      <vt:lpstr>OTP</vt:lpstr>
      <vt:lpstr>DWR</vt:lpstr>
      <vt:lpstr>MoPH</vt:lpstr>
      <vt:lpstr>ONEP</vt:lpstr>
      <vt:lpstr>DBD</vt:lpstr>
      <vt:lpstr>DDC</vt:lpstr>
      <vt:lpstr>DGR</vt:lpstr>
      <vt:lpstr>DIW</vt:lpstr>
      <vt:lpstr>DNP</vt:lpstr>
      <vt:lpstr>DOAE</vt:lpstr>
      <vt:lpstr>EGAT</vt:lpstr>
      <vt:lpstr>OAE</vt:lpstr>
      <vt:lpstr>RFD</vt:lpstr>
      <vt:lpstr>RID</vt:lpstr>
      <vt:lpstr>RTSD</vt:lpstr>
      <vt:lpstr>Print_All!Print_Area</vt:lpstr>
      <vt:lpstr>Print_All!Print_Titles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Creagy-Sitthichat</cp:lastModifiedBy>
  <cp:revision>0</cp:revision>
  <dcterms:created xsi:type="dcterms:W3CDTF">2026-04-21T04:10:30Z</dcterms:created>
  <dcterms:modified xsi:type="dcterms:W3CDTF">2026-06-02T03:57:53Z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0x01010089DCA5676B1B5849A9BAE27FA35385BE</vt:lpwstr>
  </property>
  <property fmtid="{D5CDD505-2E9C-101B-9397-08002B2CF9AE}" pid="3" name="MediaServiceImageTags">
    <vt:lpwstr/>
  </property>
</Properties>
</file>